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Stats Research\Uni Info\Dissertation\"/>
    </mc:Choice>
  </mc:AlternateContent>
  <xr:revisionPtr revIDLastSave="0" documentId="13_ncr:1_{1536A0B8-845B-4E14-AEE7-C61D1B30F1AD}" xr6:coauthVersionLast="47" xr6:coauthVersionMax="47" xr10:uidLastSave="{00000000-0000-0000-0000-000000000000}"/>
  <bookViews>
    <workbookView xWindow="-22670" yWindow="-1630" windowWidth="22780" windowHeight="14540" activeTab="3" xr2:uid="{08CB41BB-15AB-498B-B98D-EC0A44F5547F}"/>
  </bookViews>
  <sheets>
    <sheet name="BBG" sheetId="6" r:id="rId1"/>
    <sheet name="Values" sheetId="2" r:id="rId2"/>
    <sheet name="Schoutens Table" sheetId="4" r:id="rId3"/>
    <sheet name="Schoutens 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4" l="1" a="1"/>
  <c r="C10" i="4" a="1"/>
  <c r="D10" i="4" a="1"/>
  <c r="E10" i="4" a="1"/>
  <c r="F10" i="4" a="1"/>
  <c r="G10" i="4" a="1"/>
  <c r="H10" i="4" a="1"/>
  <c r="B11" i="4" a="1"/>
  <c r="C11" i="4" a="1"/>
  <c r="D11" i="4" a="1"/>
  <c r="E11" i="4" a="1"/>
  <c r="F11" i="4" a="1"/>
  <c r="G11" i="4" a="1"/>
  <c r="H11" i="4" a="1"/>
  <c r="B12" i="4" a="1"/>
  <c r="C12" i="4" a="1"/>
  <c r="D12" i="4" a="1"/>
  <c r="E12" i="4" a="1"/>
  <c r="F12" i="4" a="1"/>
  <c r="G12" i="4" a="1"/>
  <c r="H12" i="4" a="1"/>
  <c r="B13" i="4" a="1"/>
  <c r="C13" i="4" a="1"/>
  <c r="D13" i="4" a="1"/>
  <c r="E13" i="4" a="1"/>
  <c r="F13" i="4" a="1"/>
  <c r="G13" i="4" a="1"/>
  <c r="H13" i="4" a="1"/>
  <c r="B14" i="4" a="1"/>
  <c r="C14" i="4" a="1"/>
  <c r="D14" i="4" a="1"/>
  <c r="E14" i="4" a="1"/>
  <c r="F14" i="4" a="1"/>
  <c r="G14" i="4" a="1"/>
  <c r="H14" i="4" a="1"/>
  <c r="B15" i="4" a="1"/>
  <c r="C15" i="4" a="1"/>
  <c r="D15" i="4" a="1"/>
  <c r="E15" i="4" a="1"/>
  <c r="F15" i="4" a="1"/>
  <c r="G15" i="4" a="1"/>
  <c r="H15" i="4" a="1"/>
  <c r="B16" i="4" a="1"/>
  <c r="C16" i="4" a="1"/>
  <c r="D16" i="4" a="1"/>
  <c r="E16" i="4" a="1"/>
  <c r="F16" i="4" a="1"/>
  <c r="G16" i="4" a="1"/>
  <c r="H16" i="4" a="1"/>
  <c r="B17" i="4" a="1"/>
  <c r="C17" i="4" a="1"/>
  <c r="D17" i="4" a="1"/>
  <c r="E17" i="4" a="1"/>
  <c r="F17" i="4" a="1"/>
  <c r="G17" i="4" a="1"/>
  <c r="H17" i="4" a="1"/>
  <c r="B18" i="4" a="1"/>
  <c r="C18" i="4" a="1"/>
  <c r="D18" i="4" a="1"/>
  <c r="E18" i="4" a="1"/>
  <c r="F18" i="4" a="1"/>
  <c r="G18" i="4" a="1"/>
  <c r="H18" i="4" a="1"/>
  <c r="B19" i="4" a="1"/>
  <c r="C19" i="4" a="1"/>
  <c r="D19" i="4" a="1"/>
  <c r="E19" i="4" a="1"/>
  <c r="F19" i="4" a="1"/>
  <c r="G19" i="4" a="1"/>
  <c r="H19" i="4" a="1"/>
  <c r="B20" i="4" a="1"/>
  <c r="C20" i="4" a="1"/>
  <c r="D20" i="4" a="1"/>
  <c r="E20" i="4" a="1"/>
  <c r="F20" i="4" a="1"/>
  <c r="G20" i="4" a="1"/>
  <c r="H20" i="4" a="1"/>
  <c r="B21" i="4" a="1"/>
  <c r="C21" i="4" a="1"/>
  <c r="D21" i="4" a="1"/>
  <c r="E21" i="4" a="1"/>
  <c r="F21" i="4" a="1"/>
  <c r="G21" i="4" a="1"/>
  <c r="H21" i="4" a="1"/>
  <c r="B22" i="4" a="1"/>
  <c r="C22" i="4" a="1"/>
  <c r="D22" i="4" a="1"/>
  <c r="E22" i="4" a="1"/>
  <c r="F22" i="4" a="1"/>
  <c r="G22" i="4" a="1"/>
  <c r="H22" i="4" a="1"/>
  <c r="B23" i="4" a="1"/>
  <c r="C23" i="4" a="1"/>
  <c r="D23" i="4" a="1"/>
  <c r="E23" i="4" a="1"/>
  <c r="F23" i="4" a="1"/>
  <c r="G23" i="4" a="1"/>
  <c r="H23" i="4" a="1"/>
  <c r="B24" i="4" a="1"/>
  <c r="C24" i="4" a="1"/>
  <c r="D24" i="4" a="1"/>
  <c r="E24" i="4" a="1"/>
  <c r="F24" i="4" a="1"/>
  <c r="G24" i="4" a="1"/>
  <c r="H24" i="4" a="1"/>
  <c r="B25" i="4" a="1"/>
  <c r="C25" i="4" a="1"/>
  <c r="D25" i="4" a="1"/>
  <c r="E25" i="4" a="1"/>
  <c r="F25" i="4" a="1"/>
  <c r="G25" i="4" a="1"/>
  <c r="H25" i="4" a="1"/>
  <c r="B26" i="4" a="1"/>
  <c r="C26" i="4" a="1"/>
  <c r="D26" i="4" a="1"/>
  <c r="E26" i="4" a="1"/>
  <c r="F26" i="4" a="1"/>
  <c r="G26" i="4" a="1"/>
  <c r="H26" i="4" a="1"/>
  <c r="B27" i="4" a="1"/>
  <c r="C27" i="4" a="1"/>
  <c r="D27" i="4" a="1"/>
  <c r="E27" i="4" a="1"/>
  <c r="F27" i="4" a="1"/>
  <c r="G27" i="4" a="1"/>
  <c r="H27" i="4" a="1"/>
  <c r="B28" i="4" a="1"/>
  <c r="C28" i="4" a="1"/>
  <c r="D28" i="4" a="1"/>
  <c r="E28" i="4" a="1"/>
  <c r="F28" i="4" a="1"/>
  <c r="G28" i="4" a="1"/>
  <c r="H28" i="4" a="1"/>
  <c r="B29" i="4" a="1"/>
  <c r="C29" i="4" a="1"/>
  <c r="D29" i="4" a="1"/>
  <c r="E29" i="4" a="1"/>
  <c r="F29" i="4" a="1"/>
  <c r="G29" i="4" a="1"/>
  <c r="H29" i="4" a="1"/>
  <c r="B30" i="4" a="1"/>
  <c r="C30" i="4" a="1"/>
  <c r="D30" i="4" a="1"/>
  <c r="E30" i="4" a="1"/>
  <c r="F30" i="4" a="1"/>
  <c r="G30" i="4" a="1"/>
  <c r="H30" i="4" a="1"/>
  <c r="B31" i="4" a="1"/>
  <c r="C31" i="4" a="1"/>
  <c r="D31" i="4" a="1"/>
  <c r="E31" i="4" a="1"/>
  <c r="F31" i="4" a="1"/>
  <c r="G31" i="4" a="1"/>
  <c r="H31" i="4" a="1"/>
  <c r="B32" i="4" a="1"/>
  <c r="C32" i="4" a="1"/>
  <c r="D32" i="4" a="1"/>
  <c r="E32" i="4" a="1"/>
  <c r="F32" i="4" a="1"/>
  <c r="G32" i="4" a="1"/>
  <c r="H32" i="4" a="1"/>
  <c r="B33" i="4" a="1"/>
  <c r="C33" i="4" a="1"/>
  <c r="D33" i="4" a="1"/>
  <c r="E33" i="4" a="1"/>
  <c r="F33" i="4" a="1"/>
  <c r="G33" i="4" a="1"/>
  <c r="H33" i="4" a="1"/>
  <c r="B34" i="4" a="1"/>
  <c r="C34" i="4" a="1"/>
  <c r="D34" i="4" a="1"/>
  <c r="E34" i="4" a="1"/>
  <c r="F34" i="4" a="1"/>
  <c r="G34" i="4" a="1"/>
  <c r="H34" i="4" a="1"/>
  <c r="C9" i="4" a="1"/>
  <c r="D9" i="4" a="1"/>
  <c r="E9" i="4" a="1"/>
  <c r="F9" i="4" a="1"/>
  <c r="G9" i="4" a="1"/>
  <c r="H9" i="4" a="1"/>
  <c r="C8" i="4" a="1"/>
  <c r="D8" i="4" a="1"/>
  <c r="E8" i="4" a="1"/>
  <c r="F8" i="4" a="1"/>
  <c r="G8" i="4" a="1"/>
  <c r="H8" i="4" a="1"/>
  <c r="I9" i="5"/>
  <c r="J9" i="5" s="1"/>
  <c r="E9" i="6" a="1"/>
  <c r="D9" i="6" a="1"/>
  <c r="C9" i="6" a="1"/>
  <c r="B9" i="6" a="1"/>
  <c r="A9" i="6" a="1"/>
  <c r="B5" i="6" a="1"/>
  <c r="B4" i="6" a="1"/>
  <c r="B3" i="6" a="1"/>
  <c r="B9" i="4" a="1"/>
  <c r="B8" i="4" a="1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9" i="5"/>
  <c r="I10" i="5" l="1"/>
  <c r="J10" i="5" s="1"/>
  <c r="I11" i="5"/>
  <c r="J11" i="5" s="1"/>
  <c r="I12" i="5"/>
  <c r="J12" i="5" s="1"/>
  <c r="I13" i="5"/>
  <c r="J13" i="5" s="1"/>
  <c r="I14" i="5"/>
  <c r="J14" i="5" s="1"/>
  <c r="I15" i="5"/>
  <c r="J15" i="5" s="1"/>
  <c r="I16" i="5"/>
  <c r="J16" i="5" s="1"/>
  <c r="I17" i="5"/>
  <c r="J17" i="5" s="1"/>
  <c r="I20" i="5"/>
  <c r="J20" i="5" s="1"/>
  <c r="I22" i="5"/>
  <c r="J22" i="5" s="1"/>
  <c r="I23" i="5"/>
  <c r="J23" i="5" s="1"/>
  <c r="I25" i="5"/>
  <c r="J25" i="5" s="1"/>
  <c r="I27" i="5"/>
  <c r="J27" i="5" s="1"/>
  <c r="I29" i="5"/>
  <c r="J29" i="5" s="1"/>
  <c r="I30" i="5"/>
  <c r="J30" i="5" s="1"/>
  <c r="I31" i="5"/>
  <c r="J31" i="5" s="1"/>
  <c r="I32" i="5"/>
  <c r="J32" i="5" s="1"/>
  <c r="I33" i="5"/>
  <c r="J33" i="5" s="1"/>
  <c r="I34" i="5"/>
  <c r="J34" i="5" s="1"/>
  <c r="I35" i="5"/>
  <c r="J35" i="5" s="1"/>
  <c r="I36" i="5"/>
  <c r="J36" i="5" s="1"/>
  <c r="I38" i="5"/>
  <c r="J38" i="5" s="1"/>
  <c r="I39" i="5"/>
  <c r="J39" i="5" s="1"/>
  <c r="I40" i="5"/>
  <c r="J40" i="5" s="1"/>
  <c r="I41" i="5"/>
  <c r="J41" i="5" s="1"/>
  <c r="I42" i="5"/>
  <c r="J42" i="5" s="1"/>
  <c r="I43" i="5"/>
  <c r="J43" i="5" s="1"/>
  <c r="I44" i="5"/>
  <c r="J44" i="5" s="1"/>
  <c r="I46" i="5"/>
  <c r="J46" i="5" s="1"/>
  <c r="I61" i="5"/>
  <c r="J61" i="5" s="1"/>
  <c r="I62" i="5"/>
  <c r="J62" i="5" s="1"/>
  <c r="I63" i="5"/>
  <c r="J63" i="5" s="1"/>
  <c r="I64" i="5"/>
  <c r="J64" i="5" s="1"/>
  <c r="I65" i="5"/>
  <c r="J65" i="5" s="1"/>
  <c r="I28" i="5"/>
  <c r="J28" i="5" s="1"/>
  <c r="I53" i="5"/>
  <c r="J53" i="5" s="1"/>
  <c r="I55" i="5"/>
  <c r="J55" i="5" s="1"/>
  <c r="I57" i="5"/>
  <c r="J57" i="5" s="1"/>
  <c r="I58" i="5"/>
  <c r="J58" i="5" s="1"/>
  <c r="I59" i="5"/>
  <c r="J59" i="5" s="1"/>
  <c r="I60" i="5"/>
  <c r="J60" i="5" s="1"/>
  <c r="I67" i="5"/>
  <c r="J67" i="5" s="1"/>
  <c r="I68" i="5"/>
  <c r="J68" i="5" s="1"/>
  <c r="I69" i="5"/>
  <c r="J69" i="5" s="1"/>
  <c r="I77" i="5"/>
  <c r="J77" i="5" s="1"/>
  <c r="I78" i="5"/>
  <c r="J78" i="5" s="1"/>
  <c r="I79" i="5"/>
  <c r="J79" i="5" s="1"/>
  <c r="I45" i="5"/>
  <c r="J45" i="5" s="1"/>
  <c r="I50" i="5"/>
  <c r="J50" i="5" s="1"/>
  <c r="I51" i="5"/>
  <c r="J51" i="5" s="1"/>
  <c r="I52" i="5"/>
  <c r="J52" i="5" s="1"/>
  <c r="I54" i="5"/>
  <c r="J54" i="5" s="1"/>
  <c r="I81" i="5"/>
  <c r="J81" i="5" s="1"/>
  <c r="I66" i="5"/>
  <c r="J66" i="5" s="1"/>
  <c r="I70" i="5"/>
  <c r="J70" i="5" s="1"/>
  <c r="I71" i="5"/>
  <c r="J71" i="5" s="1"/>
  <c r="I73" i="5"/>
  <c r="J73" i="5" s="1"/>
  <c r="I74" i="5"/>
  <c r="J74" i="5" s="1"/>
  <c r="I76" i="5"/>
  <c r="J76" i="5" s="1"/>
  <c r="I80" i="5"/>
  <c r="J80" i="5" s="1"/>
  <c r="I82" i="5"/>
  <c r="J82" i="5" s="1"/>
  <c r="I83" i="5"/>
  <c r="J83" i="5" s="1"/>
  <c r="I26" i="5"/>
  <c r="J26" i="5" s="1"/>
  <c r="I19" i="5"/>
  <c r="J19" i="5" s="1"/>
  <c r="I21" i="5"/>
  <c r="J21" i="5" s="1"/>
  <c r="I24" i="5"/>
  <c r="J24" i="5" s="1"/>
  <c r="I75" i="5"/>
  <c r="J75" i="5" s="1"/>
  <c r="I72" i="5"/>
  <c r="J72" i="5" s="1"/>
  <c r="I37" i="5"/>
  <c r="J37" i="5" s="1"/>
  <c r="I47" i="5"/>
  <c r="J47" i="5" s="1"/>
  <c r="I49" i="5"/>
  <c r="J49" i="5" s="1"/>
  <c r="I18" i="5"/>
  <c r="J18" i="5" s="1"/>
  <c r="I48" i="5"/>
  <c r="J48" i="5" s="1"/>
  <c r="I56" i="5"/>
  <c r="J5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<sst xmlns="http://schemas.openxmlformats.org/spreadsheetml/2006/main" count="37" uniqueCount="34">
  <si>
    <t>SPX Index</t>
  </si>
  <si>
    <t>← index dividend yield, per Schoutens (2003)</t>
  </si>
  <si>
    <t>Div yield q</t>
  </si>
  <si>
    <t>← continuously compounded, per Schoutens (2003)</t>
  </si>
  <si>
    <t>Rate r</t>
  </si>
  <si>
    <t>← S&amp;P 500 close on snapshot date</t>
  </si>
  <si>
    <t>Spot S0</t>
  </si>
  <si>
    <t>← change date here to update TTM in CalibrationData</t>
  </si>
  <si>
    <t>Snapshot date</t>
  </si>
  <si>
    <t>Source: Schoutens, W. (2003). Lévy Processes in Finance. Wiley. Appendix C. Blank = not listed in appendix.</t>
  </si>
  <si>
    <t>Strike</t>
  </si>
  <si>
    <t>Div yield q:</t>
  </si>
  <si>
    <t>Rate r:</t>
  </si>
  <si>
    <t>Spot S0:</t>
  </si>
  <si>
    <t>Snapshot date:</t>
  </si>
  <si>
    <t>S&amp;P 500 Call Option Prices — Schoutens (2003) Appendix C</t>
  </si>
  <si>
    <t>log_m</t>
  </si>
  <si>
    <t>fwd</t>
  </si>
  <si>
    <t>spot</t>
  </si>
  <si>
    <t>div_yld</t>
  </si>
  <si>
    <t>rate</t>
  </si>
  <si>
    <t>ttm</t>
  </si>
  <si>
    <t>mid</t>
  </si>
  <si>
    <t>expiry_date</t>
  </si>
  <si>
    <t>maturity</t>
  </si>
  <si>
    <t>strike</t>
  </si>
  <si>
    <t>Calibration Input Table — one row per observed price</t>
  </si>
  <si>
    <t>Div Yield</t>
  </si>
  <si>
    <t>Date</t>
  </si>
  <si>
    <t>Index</t>
  </si>
  <si>
    <t>Ticker</t>
  </si>
  <si>
    <t>Expiry Date</t>
  </si>
  <si>
    <t>Bid</t>
  </si>
  <si>
    <t>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</si>
</sst>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 mmmm\ yyyy"/>
    <numFmt numFmtId="165" formatCode="0.000%"/>
    <numFmt numFmtId="166" formatCode="0.0000"/>
    <numFmt numFmtId="167" formatCode="dd\-mmm\-yy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  <font>
      <b/>
      <sz val="13"/>
      <color rgb="FF1F4E78"/>
      <name val="Arial"/>
      <charset val="1"/>
    </font>
    <font>
      <sz val="10"/>
      <color rgb="FF008000"/>
      <name val="Arial"/>
      <charset val="1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BF3FB"/>
      </patternFill>
    </fill>
    <fill>
      <patternFill patternType="solid">
        <fgColor rgb="FF1F4E78"/>
        <bgColor rgb="FF003366"/>
      </patternFill>
    </fill>
    <fill>
      <patternFill patternType="solid">
        <fgColor rgb="FFEBF3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2" fillId="0" borderId="0" xfId="1"/>
    <xf numFmtId="164" fontId="3" fillId="2" borderId="1" xfId="1" applyNumberFormat="1" applyFont="1" applyFill="1" applyBorder="1"/>
    <xf numFmtId="0" fontId="6" fillId="0" borderId="0" xfId="1" applyFont="1"/>
    <xf numFmtId="0" fontId="7" fillId="0" borderId="0" xfId="1" applyFont="1"/>
    <xf numFmtId="165" fontId="3" fillId="2" borderId="1" xfId="1" applyNumberFormat="1" applyFont="1" applyFill="1" applyBorder="1"/>
    <xf numFmtId="2" fontId="3" fillId="2" borderId="1" xfId="1" applyNumberFormat="1" applyFont="1" applyFill="1" applyBorder="1"/>
    <xf numFmtId="2" fontId="4" fillId="4" borderId="1" xfId="1" applyNumberFormat="1" applyFont="1" applyFill="1" applyBorder="1" applyAlignment="1">
      <alignment horizontal="center"/>
    </xf>
    <xf numFmtId="1" fontId="6" fillId="4" borderId="1" xfId="1" applyNumberFormat="1" applyFont="1" applyFill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1" fontId="6" fillId="0" borderId="1" xfId="1" applyNumberFormat="1" applyFont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165" fontId="9" fillId="0" borderId="0" xfId="1" applyNumberFormat="1" applyFont="1"/>
    <xf numFmtId="2" fontId="9" fillId="0" borderId="0" xfId="1" applyNumberFormat="1" applyFont="1"/>
    <xf numFmtId="164" fontId="9" fillId="0" borderId="0" xfId="1" applyNumberFormat="1" applyFont="1"/>
    <xf numFmtId="166" fontId="4" fillId="4" borderId="1" xfId="1" applyNumberFormat="1" applyFont="1" applyFill="1" applyBorder="1" applyAlignment="1">
      <alignment horizontal="center"/>
    </xf>
    <xf numFmtId="2" fontId="9" fillId="4" borderId="1" xfId="1" applyNumberFormat="1" applyFont="1" applyFill="1" applyBorder="1" applyAlignment="1">
      <alignment horizontal="center"/>
    </xf>
    <xf numFmtId="165" fontId="9" fillId="4" borderId="1" xfId="1" applyNumberFormat="1" applyFont="1" applyFill="1" applyBorder="1" applyAlignment="1">
      <alignment horizontal="center"/>
    </xf>
    <xf numFmtId="2" fontId="3" fillId="4" borderId="1" xfId="1" applyNumberFormat="1" applyFont="1" applyFill="1" applyBorder="1" applyAlignment="1">
      <alignment horizontal="center"/>
    </xf>
    <xf numFmtId="167" fontId="9" fillId="4" borderId="1" xfId="1" applyNumberFormat="1" applyFont="1" applyFill="1" applyBorder="1" applyAlignment="1">
      <alignment horizontal="center"/>
    </xf>
    <xf numFmtId="1" fontId="3" fillId="4" borderId="1" xfId="1" applyNumberFormat="1" applyFont="1" applyFill="1" applyBorder="1" applyAlignment="1">
      <alignment horizontal="center"/>
    </xf>
    <xf numFmtId="166" fontId="4" fillId="0" borderId="1" xfId="1" applyNumberFormat="1" applyFon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167" fontId="9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4" fontId="0" fillId="0" borderId="0" xfId="0" applyNumberFormat="1"/>
    <xf numFmtId="0" fontId="10" fillId="0" borderId="0" xfId="0" applyFont="1"/>
    <xf numFmtId="0" fontId="1" fillId="0" borderId="0" xfId="0" applyFont="1"/>
    <xf numFmtId="0" fontId="8" fillId="0" borderId="0" xfId="1" applyFont="1"/>
    <xf numFmtId="0" fontId="7" fillId="0" borderId="0" xfId="1" applyFont="1"/>
    <xf numFmtId="17" fontId="3" fillId="4" borderId="1" xfId="1" applyNumberFormat="1" applyFont="1" applyFill="1" applyBorder="1" applyAlignment="1">
      <alignment horizontal="center"/>
    </xf>
    <xf numFmtId="17" fontId="5" fillId="3" borderId="1" xfId="1" applyNumberFormat="1" applyFont="1" applyFill="1" applyBorder="1" applyAlignment="1">
      <alignment horizontal="center"/>
    </xf>
    <xf numFmtId="17" fontId="3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 xr:uid="{B0359C8B-0947-45B9-B464-699FD5090B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4316-AE00-431B-AED0-DD355ECC9606}">
  <dimension ref="A1:E9"/>
  <sheetViews>
    <sheetView workbookViewId="0">
      <selection activeCell="J19" sqref="J19"/>
    </sheetView>
  </sheetViews>
  <sheetFormatPr defaultRowHeight="15"/>
  <cols>
    <col min="2" max="2" width="10.140625" bestFit="1" customWidth="1"/>
    <col min="3" max="3" width="11.85546875" customWidth="1"/>
  </cols>
  <sheetData>
    <row r="1" spans="1:5">
      <c r="A1" t="s">
        <v>28</v>
      </c>
      <c r="B1" s="25">
        <v>46213</v>
      </c>
    </row>
    <row r="2" spans="1:5">
      <c r="A2" t="s">
        <v>29</v>
      </c>
      <c r="B2" s="25" t="s">
        <v>0</v>
      </c>
    </row>
    <row r="3" spans="1:5">
      <c r="A3" t="s">
        <v>6</v>
      </c>
      <c r="B3" t="e" cm="1">
        <f t="array" aca="1" ref="B3" ca="1">BDP("SPX Index","PX_LAST")</f>
        <v>#NAME?</v>
      </c>
    </row>
    <row r="4" spans="1:5">
      <c r="A4" t="s">
        <v>4</v>
      </c>
      <c r="B4" t="e" cm="1">
        <f t="array" aca="1" ref="B4" ca="1">BDP("USGG3M Index","PX_LAST")/100</f>
        <v>#NAME?</v>
      </c>
    </row>
    <row r="5" spans="1:5">
      <c r="A5" t="s">
        <v>27</v>
      </c>
      <c r="B5" s="26" t="e" cm="1">
        <f t="array" aca="1" ref="B5" ca="1">BDP("SPX Index","EQY_DVD_YLD_IND")/100</f>
        <v>#NAME?</v>
      </c>
    </row>
    <row r="8" spans="1:5">
      <c r="A8" s="27" t="s">
        <v>30</v>
      </c>
      <c r="B8" s="27" t="s">
        <v>10</v>
      </c>
      <c r="C8" s="27" t="s">
        <v>31</v>
      </c>
      <c r="D8" s="27" t="s">
        <v>32</v>
      </c>
      <c r="E8" s="27" t="s">
        <v>33</v>
      </c>
    </row>
    <row r="9" spans="1:5">
      <c r="A9" t="e" cm="1">
        <f t="array" aca="1" ref="A9" ca="1">BDS("SPX Index","OPT_CHAIN","CHAIN_PUT_CALL_TYPE_OVRD","CALL","CHAIN_EXP_DT_OVRD","20260918","CHAIN_STRIKE_PX_OVRD","80%-120%","CHAIN_POINTS_OVRD","500")</f>
        <v>#NAME?</v>
      </c>
      <c r="B9" t="e" cm="1">
        <f t="array" aca="1" ref="B9" ca="1">BDP(A9,"OPT_STRIKE_PX")</f>
        <v>#NAME?</v>
      </c>
      <c r="C9" t="e" cm="1">
        <f t="array" aca="1" ref="C9" ca="1">BDP(A9,"OPT_EXPIRE_DT")</f>
        <v>#NAME?</v>
      </c>
      <c r="D9" t="e" cm="1">
        <f t="array" aca="1" ref="D9" ca="1">BDP(A9,"PX_BID")</f>
        <v>#NAME?</v>
      </c>
      <c r="E9" t="e" cm="1">
        <f t="array" aca="1" ref="E9" ca="1">BDP(A9,"PX_ASK")</f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9A12-DE03-4DD7-8E9F-F908B9BB5B7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D02A-390A-433E-BF53-EA54C35F102D}">
  <dimension ref="A1:I36"/>
  <sheetViews>
    <sheetView zoomScaleNormal="100" workbookViewId="0">
      <selection activeCell="I11" sqref="I11"/>
    </sheetView>
  </sheetViews>
  <sheetFormatPr defaultColWidth="8.5703125" defaultRowHeight="15"/>
  <cols>
    <col min="1" max="1" width="14" style="1" bestFit="1" customWidth="1"/>
    <col min="2" max="2" width="14.140625" style="1" customWidth="1"/>
    <col min="3" max="8" width="10" style="1" customWidth="1"/>
    <col min="9" max="16384" width="8.5703125" style="1"/>
  </cols>
  <sheetData>
    <row r="1" spans="1:9" ht="16.5">
      <c r="A1" s="28" t="s">
        <v>15</v>
      </c>
      <c r="B1" s="28"/>
      <c r="C1" s="28"/>
      <c r="D1" s="28"/>
      <c r="E1" s="28"/>
      <c r="F1" s="28"/>
      <c r="G1" s="28"/>
      <c r="H1" s="28"/>
      <c r="I1" s="28"/>
    </row>
    <row r="2" spans="1:9">
      <c r="A2" s="3" t="s">
        <v>14</v>
      </c>
      <c r="B2" s="14">
        <v>37364</v>
      </c>
    </row>
    <row r="3" spans="1:9">
      <c r="A3" s="3" t="s">
        <v>13</v>
      </c>
      <c r="B3" s="13">
        <v>1124.47</v>
      </c>
    </row>
    <row r="4" spans="1:9">
      <c r="A4" s="3" t="s">
        <v>12</v>
      </c>
      <c r="B4" s="12">
        <v>1.9E-2</v>
      </c>
    </row>
    <row r="5" spans="1:9">
      <c r="A5" s="3" t="s">
        <v>11</v>
      </c>
      <c r="B5" s="12">
        <v>1.2E-2</v>
      </c>
    </row>
    <row r="7" spans="1:9">
      <c r="A7" s="11" t="s">
        <v>10</v>
      </c>
      <c r="B7" s="31">
        <v>37377</v>
      </c>
      <c r="C7" s="31">
        <v>37408</v>
      </c>
      <c r="D7" s="31">
        <v>37500</v>
      </c>
      <c r="E7" s="31">
        <v>37591</v>
      </c>
      <c r="F7" s="31">
        <v>37681</v>
      </c>
      <c r="G7" s="31">
        <v>37773</v>
      </c>
      <c r="H7" s="31">
        <v>37956</v>
      </c>
    </row>
    <row r="8" spans="1:9">
      <c r="A8" s="8">
        <v>975</v>
      </c>
      <c r="B8" s="7" t="str" cm="1">
        <f t="array" ref="B8">IF(SUMPRODUCT(('Schoutens Data'!$A$9:$A$83=$A8)*('Schoutens Data'!$B$9:$B$83=B$7))=0,"",SUMPRODUCT(('Schoutens Data'!$A$9:$A$83=$A8)*('Schoutens Data'!$B$9:$B$83=B$7)*'Schoutens Data'!$D$9:$D$83))</f>
        <v/>
      </c>
      <c r="C8" s="7" t="str" cm="1">
        <f t="array" ref="C8">IF(SUMPRODUCT(('Schoutens Data'!$A$9:$A$83=$A8)*('Schoutens Data'!$B$9:$B$83=C$7))=0,"",SUMPRODUCT(('Schoutens Data'!$A$9:$A$83=$A8)*('Schoutens Data'!$B$9:$B$83=C$7)*'Schoutens Data'!$D$9:$D$83))</f>
        <v/>
      </c>
      <c r="D8" s="7" cm="1">
        <f t="array" ref="D8">IF(SUMPRODUCT(('Schoutens Data'!$A$9:$A$83=$A8)*('Schoutens Data'!$B$9:$B$83=D$7))=0,"",SUMPRODUCT(('Schoutens Data'!$A$9:$A$83=$A8)*('Schoutens Data'!$B$9:$B$83=D$7)*'Schoutens Data'!$D$9:$D$83))</f>
        <v>161.6</v>
      </c>
      <c r="E8" s="7" cm="1">
        <f t="array" ref="E8">IF(SUMPRODUCT(('Schoutens Data'!$A$9:$A$83=$A8)*('Schoutens Data'!$B$9:$B$83=E$7))=0,"",SUMPRODUCT(('Schoutens Data'!$A$9:$A$83=$A8)*('Schoutens Data'!$B$9:$B$83=E$7)*'Schoutens Data'!$D$9:$D$83))</f>
        <v>173.3</v>
      </c>
      <c r="F8" s="7" t="str" cm="1">
        <f t="array" ref="F8">IF(SUMPRODUCT(('Schoutens Data'!$A$9:$A$83=$A8)*('Schoutens Data'!$B$9:$B$83=F$7))=0,"",SUMPRODUCT(('Schoutens Data'!$A$9:$A$83=$A8)*('Schoutens Data'!$B$9:$B$83=F$7)*'Schoutens Data'!$D$9:$D$83))</f>
        <v/>
      </c>
      <c r="G8" s="7" t="str" cm="1">
        <f t="array" ref="G8">IF(SUMPRODUCT(('Schoutens Data'!$A$9:$A$83=$A8)*('Schoutens Data'!$B$9:$B$83=G$7))=0,"",SUMPRODUCT(('Schoutens Data'!$A$9:$A$83=$A8)*('Schoutens Data'!$B$9:$B$83=G$7)*'Schoutens Data'!$D$9:$D$83))</f>
        <v/>
      </c>
      <c r="H8" s="7" t="str" cm="1">
        <f t="array" ref="H8">IF(SUMPRODUCT(('Schoutens Data'!$A$9:$A$83=$A8)*('Schoutens Data'!$B$9:$B$83=H$7))=0,"",SUMPRODUCT(('Schoutens Data'!$A$9:$A$83=$A8)*('Schoutens Data'!$B$9:$B$83=H$7)*'Schoutens Data'!$D$9:$D$83))</f>
        <v/>
      </c>
    </row>
    <row r="9" spans="1:9">
      <c r="A9" s="10">
        <v>995</v>
      </c>
      <c r="B9" s="9" t="str" cm="1">
        <f t="array" ref="B9">IF(SUMPRODUCT(('Schoutens Data'!$A$9:$A$83=$A9)*('Schoutens Data'!$B$9:$B$83=B$7))=0,"",SUMPRODUCT(('Schoutens Data'!$A$9:$A$83=$A9)*('Schoutens Data'!$B$9:$B$83=B$7)*'Schoutens Data'!$D$9:$D$83))</f>
        <v/>
      </c>
      <c r="C9" s="9" t="str" cm="1">
        <f t="array" ref="C9">IF(SUMPRODUCT(('Schoutens Data'!$A$9:$A$83=$A9)*('Schoutens Data'!$B$9:$B$83=C$7))=0,"",SUMPRODUCT(('Schoutens Data'!$A$9:$A$83=$A9)*('Schoutens Data'!$B$9:$B$83=C$7)*'Schoutens Data'!$D$9:$D$83))</f>
        <v/>
      </c>
      <c r="D9" s="9" cm="1">
        <f t="array" ref="D9">IF(SUMPRODUCT(('Schoutens Data'!$A$9:$A$83=$A9)*('Schoutens Data'!$B$9:$B$83=D$7))=0,"",SUMPRODUCT(('Schoutens Data'!$A$9:$A$83=$A9)*('Schoutens Data'!$B$9:$B$83=D$7)*'Schoutens Data'!$D$9:$D$83))</f>
        <v>144.80000000000001</v>
      </c>
      <c r="E9" s="9" cm="1">
        <f t="array" ref="E9">IF(SUMPRODUCT(('Schoutens Data'!$A$9:$A$83=$A9)*('Schoutens Data'!$B$9:$B$83=E$7))=0,"",SUMPRODUCT(('Schoutens Data'!$A$9:$A$83=$A9)*('Schoutens Data'!$B$9:$B$83=E$7)*'Schoutens Data'!$D$9:$D$83))</f>
        <v>157</v>
      </c>
      <c r="F9" s="9" t="str" cm="1">
        <f t="array" ref="F9">IF(SUMPRODUCT(('Schoutens Data'!$A$9:$A$83=$A9)*('Schoutens Data'!$B$9:$B$83=F$7))=0,"",SUMPRODUCT(('Schoutens Data'!$A$9:$A$83=$A9)*('Schoutens Data'!$B$9:$B$83=F$7)*'Schoutens Data'!$D$9:$D$83))</f>
        <v/>
      </c>
      <c r="G9" s="9" cm="1">
        <f t="array" ref="G9">IF(SUMPRODUCT(('Schoutens Data'!$A$9:$A$83=$A9)*('Schoutens Data'!$B$9:$B$83=G$7))=0,"",SUMPRODUCT(('Schoutens Data'!$A$9:$A$83=$A9)*('Schoutens Data'!$B$9:$B$83=G$7)*'Schoutens Data'!$D$9:$D$83))</f>
        <v>182.1</v>
      </c>
      <c r="H9" s="9" t="str" cm="1">
        <f t="array" ref="H9">IF(SUMPRODUCT(('Schoutens Data'!$A$9:$A$83=$A9)*('Schoutens Data'!$B$9:$B$83=H$7))=0,"",SUMPRODUCT(('Schoutens Data'!$A$9:$A$83=$A9)*('Schoutens Data'!$B$9:$B$83=H$7)*'Schoutens Data'!$D$9:$D$83))</f>
        <v/>
      </c>
    </row>
    <row r="10" spans="1:9">
      <c r="A10" s="8">
        <v>1025</v>
      </c>
      <c r="B10" s="7" t="str" cm="1">
        <f t="array" ref="B10">IF(SUMPRODUCT(('Schoutens Data'!$A$9:$A$83=$A10)*('Schoutens Data'!$B$9:$B$83=B$7))=0,"",SUMPRODUCT(('Schoutens Data'!$A$9:$A$83=$A10)*('Schoutens Data'!$B$9:$B$83=B$7)*'Schoutens Data'!$D$9:$D$83))</f>
        <v/>
      </c>
      <c r="C10" s="7" t="str" cm="1">
        <f t="array" ref="C10">IF(SUMPRODUCT(('Schoutens Data'!$A$9:$A$83=$A10)*('Schoutens Data'!$B$9:$B$83=C$7))=0,"",SUMPRODUCT(('Schoutens Data'!$A$9:$A$83=$A10)*('Schoutens Data'!$B$9:$B$83=C$7)*'Schoutens Data'!$D$9:$D$83))</f>
        <v/>
      </c>
      <c r="D10" s="7" cm="1">
        <f t="array" ref="D10">IF(SUMPRODUCT(('Schoutens Data'!$A$9:$A$83=$A10)*('Schoutens Data'!$B$9:$B$83=D$7))=0,"",SUMPRODUCT(('Schoutens Data'!$A$9:$A$83=$A10)*('Schoutens Data'!$B$9:$B$83=D$7)*'Schoutens Data'!$D$9:$D$83))</f>
        <v>120.1</v>
      </c>
      <c r="E10" s="7" cm="1">
        <f t="array" ref="E10">IF(SUMPRODUCT(('Schoutens Data'!$A$9:$A$83=$A10)*('Schoutens Data'!$B$9:$B$83=E$7))=0,"",SUMPRODUCT(('Schoutens Data'!$A$9:$A$83=$A10)*('Schoutens Data'!$B$9:$B$83=E$7)*'Schoutens Data'!$D$9:$D$83))</f>
        <v>133.1</v>
      </c>
      <c r="F10" s="7" cm="1">
        <f t="array" ref="F10">IF(SUMPRODUCT(('Schoutens Data'!$A$9:$A$83=$A10)*('Schoutens Data'!$B$9:$B$83=F$7))=0,"",SUMPRODUCT(('Schoutens Data'!$A$9:$A$83=$A10)*('Schoutens Data'!$B$9:$B$83=F$7)*'Schoutens Data'!$D$9:$D$83))</f>
        <v>146.5</v>
      </c>
      <c r="G10" s="7" t="str" cm="1">
        <f t="array" ref="G10">IF(SUMPRODUCT(('Schoutens Data'!$A$9:$A$83=$A10)*('Schoutens Data'!$B$9:$B$83=G$7))=0,"",SUMPRODUCT(('Schoutens Data'!$A$9:$A$83=$A10)*('Schoutens Data'!$B$9:$B$83=G$7)*'Schoutens Data'!$D$9:$D$83))</f>
        <v/>
      </c>
      <c r="H10" s="7" t="str" cm="1">
        <f t="array" ref="H10">IF(SUMPRODUCT(('Schoutens Data'!$A$9:$A$83=$A10)*('Schoutens Data'!$B$9:$B$83=H$7))=0,"",SUMPRODUCT(('Schoutens Data'!$A$9:$A$83=$A10)*('Schoutens Data'!$B$9:$B$83=H$7)*'Schoutens Data'!$D$9:$D$83))</f>
        <v/>
      </c>
    </row>
    <row r="11" spans="1:9">
      <c r="A11" s="10">
        <v>1050</v>
      </c>
      <c r="B11" s="9" t="str" cm="1">
        <f t="array" ref="B11">IF(SUMPRODUCT(('Schoutens Data'!$A$9:$A$83=$A11)*('Schoutens Data'!$B$9:$B$83=B$7))=0,"",SUMPRODUCT(('Schoutens Data'!$A$9:$A$83=$A11)*('Schoutens Data'!$B$9:$B$83=B$7)*'Schoutens Data'!$D$9:$D$83))</f>
        <v/>
      </c>
      <c r="C11" s="9" cm="1">
        <f t="array" ref="C11">IF(SUMPRODUCT(('Schoutens Data'!$A$9:$A$83=$A11)*('Schoutens Data'!$B$9:$B$83=C$7))=0,"",SUMPRODUCT(('Schoutens Data'!$A$9:$A$83=$A11)*('Schoutens Data'!$B$9:$B$83=C$7)*'Schoutens Data'!$D$9:$D$83))</f>
        <v>84.5</v>
      </c>
      <c r="D11" s="9" cm="1">
        <f t="array" ref="D11">IF(SUMPRODUCT(('Schoutens Data'!$A$9:$A$83=$A11)*('Schoutens Data'!$B$9:$B$83=D$7))=0,"",SUMPRODUCT(('Schoutens Data'!$A$9:$A$83=$A11)*('Schoutens Data'!$B$9:$B$83=D$7)*'Schoutens Data'!$D$9:$D$83))</f>
        <v>100.7</v>
      </c>
      <c r="E11" s="9" cm="1">
        <f t="array" ref="E11">IF(SUMPRODUCT(('Schoutens Data'!$A$9:$A$83=$A11)*('Schoutens Data'!$B$9:$B$83=E$7))=0,"",SUMPRODUCT(('Schoutens Data'!$A$9:$A$83=$A11)*('Schoutens Data'!$B$9:$B$83=E$7)*'Schoutens Data'!$D$9:$D$83))</f>
        <v>114.8</v>
      </c>
      <c r="F11" s="9" t="str" cm="1">
        <f t="array" ref="F11">IF(SUMPRODUCT(('Schoutens Data'!$A$9:$A$83=$A11)*('Schoutens Data'!$B$9:$B$83=F$7))=0,"",SUMPRODUCT(('Schoutens Data'!$A$9:$A$83=$A11)*('Schoutens Data'!$B$9:$B$83=F$7)*'Schoutens Data'!$D$9:$D$83))</f>
        <v/>
      </c>
      <c r="G11" s="9" cm="1">
        <f t="array" ref="G11">IF(SUMPRODUCT(('Schoutens Data'!$A$9:$A$83=$A11)*('Schoutens Data'!$B$9:$B$83=G$7))=0,"",SUMPRODUCT(('Schoutens Data'!$A$9:$A$83=$A11)*('Schoutens Data'!$B$9:$B$83=G$7)*'Schoutens Data'!$D$9:$D$83))</f>
        <v>143</v>
      </c>
      <c r="H11" s="9" cm="1">
        <f t="array" ref="H11">IF(SUMPRODUCT(('Schoutens Data'!$A$9:$A$83=$A11)*('Schoutens Data'!$B$9:$B$83=H$7))=0,"",SUMPRODUCT(('Schoutens Data'!$A$9:$A$83=$A11)*('Schoutens Data'!$B$9:$B$83=H$7)*'Schoutens Data'!$D$9:$D$83))</f>
        <v>171.4</v>
      </c>
    </row>
    <row r="12" spans="1:9">
      <c r="A12" s="8">
        <v>1075</v>
      </c>
      <c r="B12" s="7" t="str" cm="1">
        <f t="array" ref="B12">IF(SUMPRODUCT(('Schoutens Data'!$A$9:$A$83=$A12)*('Schoutens Data'!$B$9:$B$83=B$7))=0,"",SUMPRODUCT(('Schoutens Data'!$A$9:$A$83=$A12)*('Schoutens Data'!$B$9:$B$83=B$7)*'Schoutens Data'!$D$9:$D$83))</f>
        <v/>
      </c>
      <c r="C12" s="7" cm="1">
        <f t="array" ref="C12">IF(SUMPRODUCT(('Schoutens Data'!$A$9:$A$83=$A12)*('Schoutens Data'!$B$9:$B$83=C$7))=0,"",SUMPRODUCT(('Schoutens Data'!$A$9:$A$83=$A12)*('Schoutens Data'!$B$9:$B$83=C$7)*'Schoutens Data'!$D$9:$D$83))</f>
        <v>64.3</v>
      </c>
      <c r="D12" s="7" cm="1">
        <f t="array" ref="D12">IF(SUMPRODUCT(('Schoutens Data'!$A$9:$A$83=$A12)*('Schoutens Data'!$B$9:$B$83=D$7))=0,"",SUMPRODUCT(('Schoutens Data'!$A$9:$A$83=$A12)*('Schoutens Data'!$B$9:$B$83=D$7)*'Schoutens Data'!$D$9:$D$83))</f>
        <v>82.5</v>
      </c>
      <c r="E12" s="7" cm="1">
        <f t="array" ref="E12">IF(SUMPRODUCT(('Schoutens Data'!$A$9:$A$83=$A12)*('Schoutens Data'!$B$9:$B$83=E$7))=0,"",SUMPRODUCT(('Schoutens Data'!$A$9:$A$83=$A12)*('Schoutens Data'!$B$9:$B$83=E$7)*'Schoutens Data'!$D$9:$D$83))</f>
        <v>97.6</v>
      </c>
      <c r="F12" s="7" t="str" cm="1">
        <f t="array" ref="F12">IF(SUMPRODUCT(('Schoutens Data'!$A$9:$A$83=$A12)*('Schoutens Data'!$B$9:$B$83=F$7))=0,"",SUMPRODUCT(('Schoutens Data'!$A$9:$A$83=$A12)*('Schoutens Data'!$B$9:$B$83=F$7)*'Schoutens Data'!$D$9:$D$83))</f>
        <v/>
      </c>
      <c r="G12" s="7" t="str" cm="1">
        <f t="array" ref="G12">IF(SUMPRODUCT(('Schoutens Data'!$A$9:$A$83=$A12)*('Schoutens Data'!$B$9:$B$83=G$7))=0,"",SUMPRODUCT(('Schoutens Data'!$A$9:$A$83=$A12)*('Schoutens Data'!$B$9:$B$83=G$7)*'Schoutens Data'!$D$9:$D$83))</f>
        <v/>
      </c>
      <c r="H12" s="7" t="str" cm="1">
        <f t="array" ref="H12">IF(SUMPRODUCT(('Schoutens Data'!$A$9:$A$83=$A12)*('Schoutens Data'!$B$9:$B$83=H$7))=0,"",SUMPRODUCT(('Schoutens Data'!$A$9:$A$83=$A12)*('Schoutens Data'!$B$9:$B$83=H$7)*'Schoutens Data'!$D$9:$D$83))</f>
        <v/>
      </c>
    </row>
    <row r="13" spans="1:9">
      <c r="A13" s="10">
        <v>1090</v>
      </c>
      <c r="B13" s="9" cm="1">
        <f t="array" ref="B13">IF(SUMPRODUCT(('Schoutens Data'!$A$9:$A$83=$A13)*('Schoutens Data'!$B$9:$B$83=B$7))=0,"",SUMPRODUCT(('Schoutens Data'!$A$9:$A$83=$A13)*('Schoutens Data'!$B$9:$B$83=B$7)*'Schoutens Data'!$D$9:$D$83))</f>
        <v>43.1</v>
      </c>
      <c r="C13" s="9" t="str" cm="1">
        <f t="array" ref="C13">IF(SUMPRODUCT(('Schoutens Data'!$A$9:$A$83=$A13)*('Schoutens Data'!$B$9:$B$83=C$7))=0,"",SUMPRODUCT(('Schoutens Data'!$A$9:$A$83=$A13)*('Schoutens Data'!$B$9:$B$83=C$7)*'Schoutens Data'!$D$9:$D$83))</f>
        <v/>
      </c>
      <c r="D13" s="9" t="str" cm="1">
        <f t="array" ref="D13">IF(SUMPRODUCT(('Schoutens Data'!$A$9:$A$83=$A13)*('Schoutens Data'!$B$9:$B$83=D$7))=0,"",SUMPRODUCT(('Schoutens Data'!$A$9:$A$83=$A13)*('Schoutens Data'!$B$9:$B$83=D$7)*'Schoutens Data'!$D$9:$D$83))</f>
        <v/>
      </c>
      <c r="E13" s="9" t="str" cm="1">
        <f t="array" ref="E13">IF(SUMPRODUCT(('Schoutens Data'!$A$9:$A$83=$A13)*('Schoutens Data'!$B$9:$B$83=E$7))=0,"",SUMPRODUCT(('Schoutens Data'!$A$9:$A$83=$A13)*('Schoutens Data'!$B$9:$B$83=E$7)*'Schoutens Data'!$D$9:$D$83))</f>
        <v/>
      </c>
      <c r="F13" s="9" t="str" cm="1">
        <f t="array" ref="F13">IF(SUMPRODUCT(('Schoutens Data'!$A$9:$A$83=$A13)*('Schoutens Data'!$B$9:$B$83=F$7))=0,"",SUMPRODUCT(('Schoutens Data'!$A$9:$A$83=$A13)*('Schoutens Data'!$B$9:$B$83=F$7)*'Schoutens Data'!$D$9:$D$83))</f>
        <v/>
      </c>
      <c r="G13" s="9" t="str" cm="1">
        <f t="array" ref="G13">IF(SUMPRODUCT(('Schoutens Data'!$A$9:$A$83=$A13)*('Schoutens Data'!$B$9:$B$83=G$7))=0,"",SUMPRODUCT(('Schoutens Data'!$A$9:$A$83=$A13)*('Schoutens Data'!$B$9:$B$83=G$7)*'Schoutens Data'!$D$9:$D$83))</f>
        <v/>
      </c>
      <c r="H13" s="9" t="str" cm="1">
        <f t="array" ref="H13">IF(SUMPRODUCT(('Schoutens Data'!$A$9:$A$83=$A13)*('Schoutens Data'!$B$9:$B$83=H$7))=0,"",SUMPRODUCT(('Schoutens Data'!$A$9:$A$83=$A13)*('Schoutens Data'!$B$9:$B$83=H$7)*'Schoutens Data'!$D$9:$D$83))</f>
        <v/>
      </c>
    </row>
    <row r="14" spans="1:9">
      <c r="A14" s="8">
        <v>1100</v>
      </c>
      <c r="B14" s="7" cm="1">
        <f t="array" ref="B14">IF(SUMPRODUCT(('Schoutens Data'!$A$9:$A$83=$A14)*('Schoutens Data'!$B$9:$B$83=B$7))=0,"",SUMPRODUCT(('Schoutens Data'!$A$9:$A$83=$A14)*('Schoutens Data'!$B$9:$B$83=B$7)*'Schoutens Data'!$D$9:$D$83))</f>
        <v>35.6</v>
      </c>
      <c r="C14" s="7" t="str" cm="1">
        <f t="array" ref="C14">IF(SUMPRODUCT(('Schoutens Data'!$A$9:$A$83=$A14)*('Schoutens Data'!$B$9:$B$83=C$7))=0,"",SUMPRODUCT(('Schoutens Data'!$A$9:$A$83=$A14)*('Schoutens Data'!$B$9:$B$83=C$7)*'Schoutens Data'!$D$9:$D$83))</f>
        <v/>
      </c>
      <c r="D14" s="7" cm="1">
        <f t="array" ref="D14">IF(SUMPRODUCT(('Schoutens Data'!$A$9:$A$83=$A14)*('Schoutens Data'!$B$9:$B$83=D$7))=0,"",SUMPRODUCT(('Schoutens Data'!$A$9:$A$83=$A14)*('Schoutens Data'!$B$9:$B$83=D$7)*'Schoutens Data'!$D$9:$D$83))</f>
        <v>65.5</v>
      </c>
      <c r="E14" s="7" cm="1">
        <f t="array" ref="E14">IF(SUMPRODUCT(('Schoutens Data'!$A$9:$A$83=$A14)*('Schoutens Data'!$B$9:$B$83=E$7))=0,"",SUMPRODUCT(('Schoutens Data'!$A$9:$A$83=$A14)*('Schoutens Data'!$B$9:$B$83=E$7)*'Schoutens Data'!$D$9:$D$83))</f>
        <v>81.2</v>
      </c>
      <c r="F14" s="7" cm="1">
        <f t="array" ref="F14">IF(SUMPRODUCT(('Schoutens Data'!$A$9:$A$83=$A14)*('Schoutens Data'!$B$9:$B$83=F$7))=0,"",SUMPRODUCT(('Schoutens Data'!$A$9:$A$83=$A14)*('Schoutens Data'!$B$9:$B$83=F$7)*'Schoutens Data'!$D$9:$D$83))</f>
        <v>96.2</v>
      </c>
      <c r="G14" s="7" cm="1">
        <f t="array" ref="G14">IF(SUMPRODUCT(('Schoutens Data'!$A$9:$A$83=$A14)*('Schoutens Data'!$B$9:$B$83=G$7))=0,"",SUMPRODUCT(('Schoutens Data'!$A$9:$A$83=$A14)*('Schoutens Data'!$B$9:$B$83=G$7)*'Schoutens Data'!$D$9:$D$83))</f>
        <v>111.3</v>
      </c>
      <c r="H14" s="7" cm="1">
        <f t="array" ref="H14">IF(SUMPRODUCT(('Schoutens Data'!$A$9:$A$83=$A14)*('Schoutens Data'!$B$9:$B$83=H$7))=0,"",SUMPRODUCT(('Schoutens Data'!$A$9:$A$83=$A14)*('Schoutens Data'!$B$9:$B$83=H$7)*'Schoutens Data'!$D$9:$D$83))</f>
        <v>140.4</v>
      </c>
    </row>
    <row r="15" spans="1:9">
      <c r="A15" s="10">
        <v>1110</v>
      </c>
      <c r="B15" s="9" t="str" cm="1">
        <f t="array" ref="B15">IF(SUMPRODUCT(('Schoutens Data'!$A$9:$A$83=$A15)*('Schoutens Data'!$B$9:$B$83=B$7))=0,"",SUMPRODUCT(('Schoutens Data'!$A$9:$A$83=$A15)*('Schoutens Data'!$B$9:$B$83=B$7)*'Schoutens Data'!$D$9:$D$83))</f>
        <v/>
      </c>
      <c r="C15" s="9" cm="1">
        <f t="array" ref="C15">IF(SUMPRODUCT(('Schoutens Data'!$A$9:$A$83=$A15)*('Schoutens Data'!$B$9:$B$83=C$7))=0,"",SUMPRODUCT(('Schoutens Data'!$A$9:$A$83=$A15)*('Schoutens Data'!$B$9:$B$83=C$7)*'Schoutens Data'!$D$9:$D$83))</f>
        <v>39.5</v>
      </c>
      <c r="D15" s="9" t="str" cm="1">
        <f t="array" ref="D15">IF(SUMPRODUCT(('Schoutens Data'!$A$9:$A$83=$A15)*('Schoutens Data'!$B$9:$B$83=D$7))=0,"",SUMPRODUCT(('Schoutens Data'!$A$9:$A$83=$A15)*('Schoutens Data'!$B$9:$B$83=D$7)*'Schoutens Data'!$D$9:$D$83))</f>
        <v/>
      </c>
      <c r="E15" s="9" t="str" cm="1">
        <f t="array" ref="E15">IF(SUMPRODUCT(('Schoutens Data'!$A$9:$A$83=$A15)*('Schoutens Data'!$B$9:$B$83=E$7))=0,"",SUMPRODUCT(('Schoutens Data'!$A$9:$A$83=$A15)*('Schoutens Data'!$B$9:$B$83=E$7)*'Schoutens Data'!$D$9:$D$83))</f>
        <v/>
      </c>
      <c r="F15" s="9" t="str" cm="1">
        <f t="array" ref="F15">IF(SUMPRODUCT(('Schoutens Data'!$A$9:$A$83=$A15)*('Schoutens Data'!$B$9:$B$83=F$7))=0,"",SUMPRODUCT(('Schoutens Data'!$A$9:$A$83=$A15)*('Schoutens Data'!$B$9:$B$83=F$7)*'Schoutens Data'!$D$9:$D$83))</f>
        <v/>
      </c>
      <c r="G15" s="9" t="str" cm="1">
        <f t="array" ref="G15">IF(SUMPRODUCT(('Schoutens Data'!$A$9:$A$83=$A15)*('Schoutens Data'!$B$9:$B$83=G$7))=0,"",SUMPRODUCT(('Schoutens Data'!$A$9:$A$83=$A15)*('Schoutens Data'!$B$9:$B$83=G$7)*'Schoutens Data'!$D$9:$D$83))</f>
        <v/>
      </c>
      <c r="H15" s="9" t="str" cm="1">
        <f t="array" ref="H15">IF(SUMPRODUCT(('Schoutens Data'!$A$9:$A$83=$A15)*('Schoutens Data'!$B$9:$B$83=H$7))=0,"",SUMPRODUCT(('Schoutens Data'!$A$9:$A$83=$A15)*('Schoutens Data'!$B$9:$B$83=H$7)*'Schoutens Data'!$D$9:$D$83))</f>
        <v/>
      </c>
    </row>
    <row r="16" spans="1:9">
      <c r="A16" s="8">
        <v>1120</v>
      </c>
      <c r="B16" s="7" cm="1">
        <f t="array" ref="B16">IF(SUMPRODUCT(('Schoutens Data'!$A$9:$A$83=$A16)*('Schoutens Data'!$B$9:$B$83=B$7))=0,"",SUMPRODUCT(('Schoutens Data'!$A$9:$A$83=$A16)*('Schoutens Data'!$B$9:$B$83=B$7)*'Schoutens Data'!$D$9:$D$83))</f>
        <v>22.9</v>
      </c>
      <c r="C16" s="7" cm="1">
        <f t="array" ref="C16">IF(SUMPRODUCT(('Schoutens Data'!$A$9:$A$83=$A16)*('Schoutens Data'!$B$9:$B$83=C$7))=0,"",SUMPRODUCT(('Schoutens Data'!$A$9:$A$83=$A16)*('Schoutens Data'!$B$9:$B$83=C$7)*'Schoutens Data'!$D$9:$D$83))</f>
        <v>33.5</v>
      </c>
      <c r="D16" s="7" t="str" cm="1">
        <f t="array" ref="D16">IF(SUMPRODUCT(('Schoutens Data'!$A$9:$A$83=$A16)*('Schoutens Data'!$B$9:$B$83=D$7))=0,"",SUMPRODUCT(('Schoutens Data'!$A$9:$A$83=$A16)*('Schoutens Data'!$B$9:$B$83=D$7)*'Schoutens Data'!$D$9:$D$83))</f>
        <v/>
      </c>
      <c r="E16" s="7" t="str" cm="1">
        <f t="array" ref="E16">IF(SUMPRODUCT(('Schoutens Data'!$A$9:$A$83=$A16)*('Schoutens Data'!$B$9:$B$83=E$7))=0,"",SUMPRODUCT(('Schoutens Data'!$A$9:$A$83=$A16)*('Schoutens Data'!$B$9:$B$83=E$7)*'Schoutens Data'!$D$9:$D$83))</f>
        <v/>
      </c>
      <c r="F16" s="7" t="str" cm="1">
        <f t="array" ref="F16">IF(SUMPRODUCT(('Schoutens Data'!$A$9:$A$83=$A16)*('Schoutens Data'!$B$9:$B$83=F$7))=0,"",SUMPRODUCT(('Schoutens Data'!$A$9:$A$83=$A16)*('Schoutens Data'!$B$9:$B$83=F$7)*'Schoutens Data'!$D$9:$D$83))</f>
        <v/>
      </c>
      <c r="G16" s="7" t="str" cm="1">
        <f t="array" ref="G16">IF(SUMPRODUCT(('Schoutens Data'!$A$9:$A$83=$A16)*('Schoutens Data'!$B$9:$B$83=G$7))=0,"",SUMPRODUCT(('Schoutens Data'!$A$9:$A$83=$A16)*('Schoutens Data'!$B$9:$B$83=G$7)*'Schoutens Data'!$D$9:$D$83))</f>
        <v/>
      </c>
      <c r="H16" s="7" t="str" cm="1">
        <f t="array" ref="H16">IF(SUMPRODUCT(('Schoutens Data'!$A$9:$A$83=$A16)*('Schoutens Data'!$B$9:$B$83=H$7))=0,"",SUMPRODUCT(('Schoutens Data'!$A$9:$A$83=$A16)*('Schoutens Data'!$B$9:$B$83=H$7)*'Schoutens Data'!$D$9:$D$83))</f>
        <v/>
      </c>
    </row>
    <row r="17" spans="1:8">
      <c r="A17" s="10">
        <v>1125</v>
      </c>
      <c r="B17" s="9" cm="1">
        <f t="array" ref="B17">IF(SUMPRODUCT(('Schoutens Data'!$A$9:$A$83=$A17)*('Schoutens Data'!$B$9:$B$83=B$7))=0,"",SUMPRODUCT(('Schoutens Data'!$A$9:$A$83=$A17)*('Schoutens Data'!$B$9:$B$83=B$7)*'Schoutens Data'!$D$9:$D$83))</f>
        <v>20.2</v>
      </c>
      <c r="C17" s="9" cm="1">
        <f t="array" ref="C17">IF(SUMPRODUCT(('Schoutens Data'!$A$9:$A$83=$A17)*('Schoutens Data'!$B$9:$B$83=C$7))=0,"",SUMPRODUCT(('Schoutens Data'!$A$9:$A$83=$A17)*('Schoutens Data'!$B$9:$B$83=C$7)*'Schoutens Data'!$D$9:$D$83))</f>
        <v>30.7</v>
      </c>
      <c r="D17" s="9" cm="1">
        <f t="array" ref="D17">IF(SUMPRODUCT(('Schoutens Data'!$A$9:$A$83=$A17)*('Schoutens Data'!$B$9:$B$83=D$7))=0,"",SUMPRODUCT(('Schoutens Data'!$A$9:$A$83=$A17)*('Schoutens Data'!$B$9:$B$83=D$7)*'Schoutens Data'!$D$9:$D$83))</f>
        <v>51</v>
      </c>
      <c r="E17" s="9" cm="1">
        <f t="array" ref="E17">IF(SUMPRODUCT(('Schoutens Data'!$A$9:$A$83=$A17)*('Schoutens Data'!$B$9:$B$83=E$7))=0,"",SUMPRODUCT(('Schoutens Data'!$A$9:$A$83=$A17)*('Schoutens Data'!$B$9:$B$83=E$7)*'Schoutens Data'!$D$9:$D$83))</f>
        <v>66.900000000000006</v>
      </c>
      <c r="F17" s="9" cm="1">
        <f t="array" ref="F17">IF(SUMPRODUCT(('Schoutens Data'!$A$9:$A$83=$A17)*('Schoutens Data'!$B$9:$B$83=F$7))=0,"",SUMPRODUCT(('Schoutens Data'!$A$9:$A$83=$A17)*('Schoutens Data'!$B$9:$B$83=F$7)*'Schoutens Data'!$D$9:$D$83))</f>
        <v>81.7</v>
      </c>
      <c r="G17" s="9" cm="1">
        <f t="array" ref="G17">IF(SUMPRODUCT(('Schoutens Data'!$A$9:$A$83=$A17)*('Schoutens Data'!$B$9:$B$83=G$7))=0,"",SUMPRODUCT(('Schoutens Data'!$A$9:$A$83=$A17)*('Schoutens Data'!$B$9:$B$83=G$7)*'Schoutens Data'!$D$9:$D$83))</f>
        <v>97</v>
      </c>
      <c r="H17" s="9" t="str" cm="1">
        <f t="array" ref="H17">IF(SUMPRODUCT(('Schoutens Data'!$A$9:$A$83=$A17)*('Schoutens Data'!$B$9:$B$83=H$7))=0,"",SUMPRODUCT(('Schoutens Data'!$A$9:$A$83=$A17)*('Schoutens Data'!$B$9:$B$83=H$7)*'Schoutens Data'!$D$9:$D$83))</f>
        <v/>
      </c>
    </row>
    <row r="18" spans="1:8">
      <c r="A18" s="8">
        <v>1130</v>
      </c>
      <c r="B18" s="7" t="str" cm="1">
        <f t="array" ref="B18">IF(SUMPRODUCT(('Schoutens Data'!$A$9:$A$83=$A18)*('Schoutens Data'!$B$9:$B$83=B$7))=0,"",SUMPRODUCT(('Schoutens Data'!$A$9:$A$83=$A18)*('Schoutens Data'!$B$9:$B$83=B$7)*'Schoutens Data'!$D$9:$D$83))</f>
        <v/>
      </c>
      <c r="C18" s="7" cm="1">
        <f t="array" ref="C18">IF(SUMPRODUCT(('Schoutens Data'!$A$9:$A$83=$A18)*('Schoutens Data'!$B$9:$B$83=C$7))=0,"",SUMPRODUCT(('Schoutens Data'!$A$9:$A$83=$A18)*('Schoutens Data'!$B$9:$B$83=C$7)*'Schoutens Data'!$D$9:$D$83))</f>
        <v>28</v>
      </c>
      <c r="D18" s="7" t="str" cm="1">
        <f t="array" ref="D18">IF(SUMPRODUCT(('Schoutens Data'!$A$9:$A$83=$A18)*('Schoutens Data'!$B$9:$B$83=D$7))=0,"",SUMPRODUCT(('Schoutens Data'!$A$9:$A$83=$A18)*('Schoutens Data'!$B$9:$B$83=D$7)*'Schoutens Data'!$D$9:$D$83))</f>
        <v/>
      </c>
      <c r="E18" s="7" t="str" cm="1">
        <f t="array" ref="E18">IF(SUMPRODUCT(('Schoutens Data'!$A$9:$A$83=$A18)*('Schoutens Data'!$B$9:$B$83=E$7))=0,"",SUMPRODUCT(('Schoutens Data'!$A$9:$A$83=$A18)*('Schoutens Data'!$B$9:$B$83=E$7)*'Schoutens Data'!$D$9:$D$83))</f>
        <v/>
      </c>
      <c r="F18" s="7" t="str" cm="1">
        <f t="array" ref="F18">IF(SUMPRODUCT(('Schoutens Data'!$A$9:$A$83=$A18)*('Schoutens Data'!$B$9:$B$83=F$7))=0,"",SUMPRODUCT(('Schoutens Data'!$A$9:$A$83=$A18)*('Schoutens Data'!$B$9:$B$83=F$7)*'Schoutens Data'!$D$9:$D$83))</f>
        <v/>
      </c>
      <c r="G18" s="7" t="str" cm="1">
        <f t="array" ref="G18">IF(SUMPRODUCT(('Schoutens Data'!$A$9:$A$83=$A18)*('Schoutens Data'!$B$9:$B$83=G$7))=0,"",SUMPRODUCT(('Schoutens Data'!$A$9:$A$83=$A18)*('Schoutens Data'!$B$9:$B$83=G$7)*'Schoutens Data'!$D$9:$D$83))</f>
        <v/>
      </c>
      <c r="H18" s="7" t="str" cm="1">
        <f t="array" ref="H18">IF(SUMPRODUCT(('Schoutens Data'!$A$9:$A$83=$A18)*('Schoutens Data'!$B$9:$B$83=H$7))=0,"",SUMPRODUCT(('Schoutens Data'!$A$9:$A$83=$A18)*('Schoutens Data'!$B$9:$B$83=H$7)*'Schoutens Data'!$D$9:$D$83))</f>
        <v/>
      </c>
    </row>
    <row r="19" spans="1:8">
      <c r="A19" s="10">
        <v>1135</v>
      </c>
      <c r="B19" s="9" t="str" cm="1">
        <f t="array" ref="B19">IF(SUMPRODUCT(('Schoutens Data'!$A$9:$A$83=$A19)*('Schoutens Data'!$B$9:$B$83=B$7))=0,"",SUMPRODUCT(('Schoutens Data'!$A$9:$A$83=$A19)*('Schoutens Data'!$B$9:$B$83=B$7)*'Schoutens Data'!$D$9:$D$83))</f>
        <v/>
      </c>
      <c r="C19" s="9" cm="1">
        <f t="array" ref="C19">IF(SUMPRODUCT(('Schoutens Data'!$A$9:$A$83=$A19)*('Schoutens Data'!$B$9:$B$83=C$7))=0,"",SUMPRODUCT(('Schoutens Data'!$A$9:$A$83=$A19)*('Schoutens Data'!$B$9:$B$83=C$7)*'Schoutens Data'!$D$9:$D$83))</f>
        <v>25.6</v>
      </c>
      <c r="D19" s="9" cm="1">
        <f t="array" ref="D19">IF(SUMPRODUCT(('Schoutens Data'!$A$9:$A$83=$A19)*('Schoutens Data'!$B$9:$B$83=D$7))=0,"",SUMPRODUCT(('Schoutens Data'!$A$9:$A$83=$A19)*('Schoutens Data'!$B$9:$B$83=D$7)*'Schoutens Data'!$D$9:$D$83))</f>
        <v>45.5</v>
      </c>
      <c r="E19" s="9" t="str" cm="1">
        <f t="array" ref="E19">IF(SUMPRODUCT(('Schoutens Data'!$A$9:$A$83=$A19)*('Schoutens Data'!$B$9:$B$83=E$7))=0,"",SUMPRODUCT(('Schoutens Data'!$A$9:$A$83=$A19)*('Schoutens Data'!$B$9:$B$83=E$7)*'Schoutens Data'!$D$9:$D$83))</f>
        <v/>
      </c>
      <c r="F19" s="9" t="str" cm="1">
        <f t="array" ref="F19">IF(SUMPRODUCT(('Schoutens Data'!$A$9:$A$83=$A19)*('Schoutens Data'!$B$9:$B$83=F$7))=0,"",SUMPRODUCT(('Schoutens Data'!$A$9:$A$83=$A19)*('Schoutens Data'!$B$9:$B$83=F$7)*'Schoutens Data'!$D$9:$D$83))</f>
        <v/>
      </c>
      <c r="G19" s="9" t="str" cm="1">
        <f t="array" ref="G19">IF(SUMPRODUCT(('Schoutens Data'!$A$9:$A$83=$A19)*('Schoutens Data'!$B$9:$B$83=G$7))=0,"",SUMPRODUCT(('Schoutens Data'!$A$9:$A$83=$A19)*('Schoutens Data'!$B$9:$B$83=G$7)*'Schoutens Data'!$D$9:$D$83))</f>
        <v/>
      </c>
      <c r="H19" s="9" t="str" cm="1">
        <f t="array" ref="H19">IF(SUMPRODUCT(('Schoutens Data'!$A$9:$A$83=$A19)*('Schoutens Data'!$B$9:$B$83=H$7))=0,"",SUMPRODUCT(('Schoutens Data'!$A$9:$A$83=$A19)*('Schoutens Data'!$B$9:$B$83=H$7)*'Schoutens Data'!$D$9:$D$83))</f>
        <v/>
      </c>
    </row>
    <row r="20" spans="1:8">
      <c r="A20" s="8">
        <v>1140</v>
      </c>
      <c r="B20" s="7" cm="1">
        <f t="array" ref="B20">IF(SUMPRODUCT(('Schoutens Data'!$A$9:$A$83=$A20)*('Schoutens Data'!$B$9:$B$83=B$7))=0,"",SUMPRODUCT(('Schoutens Data'!$A$9:$A$83=$A20)*('Schoutens Data'!$B$9:$B$83=B$7)*'Schoutens Data'!$D$9:$D$83))</f>
        <v>13.3</v>
      </c>
      <c r="C20" s="7" cm="1">
        <f t="array" ref="C20">IF(SUMPRODUCT(('Schoutens Data'!$A$9:$A$83=$A20)*('Schoutens Data'!$B$9:$B$83=C$7))=0,"",SUMPRODUCT(('Schoutens Data'!$A$9:$A$83=$A20)*('Schoutens Data'!$B$9:$B$83=C$7)*'Schoutens Data'!$D$9:$D$83))</f>
        <v>23.2</v>
      </c>
      <c r="D20" s="7" t="str" cm="1">
        <f t="array" ref="D20">IF(SUMPRODUCT(('Schoutens Data'!$A$9:$A$83=$A20)*('Schoutens Data'!$B$9:$B$83=D$7))=0,"",SUMPRODUCT(('Schoutens Data'!$A$9:$A$83=$A20)*('Schoutens Data'!$B$9:$B$83=D$7)*'Schoutens Data'!$D$9:$D$83))</f>
        <v/>
      </c>
      <c r="E20" s="7" cm="1">
        <f t="array" ref="E20">IF(SUMPRODUCT(('Schoutens Data'!$A$9:$A$83=$A20)*('Schoutens Data'!$B$9:$B$83=E$7))=0,"",SUMPRODUCT(('Schoutens Data'!$A$9:$A$83=$A20)*('Schoutens Data'!$B$9:$B$83=E$7)*'Schoutens Data'!$D$9:$D$83))</f>
        <v>58.9</v>
      </c>
      <c r="F20" s="7" t="str" cm="1">
        <f t="array" ref="F20">IF(SUMPRODUCT(('Schoutens Data'!$A$9:$A$83=$A20)*('Schoutens Data'!$B$9:$B$83=F$7))=0,"",SUMPRODUCT(('Schoutens Data'!$A$9:$A$83=$A20)*('Schoutens Data'!$B$9:$B$83=F$7)*'Schoutens Data'!$D$9:$D$83))</f>
        <v/>
      </c>
      <c r="G20" s="7" t="str" cm="1">
        <f t="array" ref="G20">IF(SUMPRODUCT(('Schoutens Data'!$A$9:$A$83=$A20)*('Schoutens Data'!$B$9:$B$83=G$7))=0,"",SUMPRODUCT(('Schoutens Data'!$A$9:$A$83=$A20)*('Schoutens Data'!$B$9:$B$83=G$7)*'Schoutens Data'!$D$9:$D$83))</f>
        <v/>
      </c>
      <c r="H20" s="7" t="str" cm="1">
        <f t="array" ref="H20">IF(SUMPRODUCT(('Schoutens Data'!$A$9:$A$83=$A20)*('Schoutens Data'!$B$9:$B$83=H$7))=0,"",SUMPRODUCT(('Schoutens Data'!$A$9:$A$83=$A20)*('Schoutens Data'!$B$9:$B$83=H$7)*'Schoutens Data'!$D$9:$D$83))</f>
        <v/>
      </c>
    </row>
    <row r="21" spans="1:8">
      <c r="A21" s="10">
        <v>1150</v>
      </c>
      <c r="B21" s="9" t="str" cm="1">
        <f t="array" ref="B21">IF(SUMPRODUCT(('Schoutens Data'!$A$9:$A$83=$A21)*('Schoutens Data'!$B$9:$B$83=B$7))=0,"",SUMPRODUCT(('Schoutens Data'!$A$9:$A$83=$A21)*('Schoutens Data'!$B$9:$B$83=B$7)*'Schoutens Data'!$D$9:$D$83))</f>
        <v/>
      </c>
      <c r="C21" s="9" cm="1">
        <f t="array" ref="C21">IF(SUMPRODUCT(('Schoutens Data'!$A$9:$A$83=$A21)*('Schoutens Data'!$B$9:$B$83=C$7))=0,"",SUMPRODUCT(('Schoutens Data'!$A$9:$A$83=$A21)*('Schoutens Data'!$B$9:$B$83=C$7)*'Schoutens Data'!$D$9:$D$83))</f>
        <v>19.100000000000001</v>
      </c>
      <c r="D21" s="9" cm="1">
        <f t="array" ref="D21">IF(SUMPRODUCT(('Schoutens Data'!$A$9:$A$83=$A21)*('Schoutens Data'!$B$9:$B$83=D$7))=0,"",SUMPRODUCT(('Schoutens Data'!$A$9:$A$83=$A21)*('Schoutens Data'!$B$9:$B$83=D$7)*'Schoutens Data'!$D$9:$D$83))</f>
        <v>38.1</v>
      </c>
      <c r="E21" s="9" cm="1">
        <f t="array" ref="E21">IF(SUMPRODUCT(('Schoutens Data'!$A$9:$A$83=$A21)*('Schoutens Data'!$B$9:$B$83=E$7))=0,"",SUMPRODUCT(('Schoutens Data'!$A$9:$A$83=$A21)*('Schoutens Data'!$B$9:$B$83=E$7)*'Schoutens Data'!$D$9:$D$83))</f>
        <v>53.9</v>
      </c>
      <c r="F21" s="9" cm="1">
        <f t="array" ref="F21">IF(SUMPRODUCT(('Schoutens Data'!$A$9:$A$83=$A21)*('Schoutens Data'!$B$9:$B$83=F$7))=0,"",SUMPRODUCT(('Schoutens Data'!$A$9:$A$83=$A21)*('Schoutens Data'!$B$9:$B$83=F$7)*'Schoutens Data'!$D$9:$D$83))</f>
        <v>68.3</v>
      </c>
      <c r="G21" s="9" cm="1">
        <f t="array" ref="G21">IF(SUMPRODUCT(('Schoutens Data'!$A$9:$A$83=$A21)*('Schoutens Data'!$B$9:$B$83=G$7))=0,"",SUMPRODUCT(('Schoutens Data'!$A$9:$A$83=$A21)*('Schoutens Data'!$B$9:$B$83=G$7)*'Schoutens Data'!$D$9:$D$83))</f>
        <v>83.3</v>
      </c>
      <c r="H21" s="9" cm="1">
        <f t="array" ref="H21">IF(SUMPRODUCT(('Schoutens Data'!$A$9:$A$83=$A21)*('Schoutens Data'!$B$9:$B$83=H$7))=0,"",SUMPRODUCT(('Schoutens Data'!$A$9:$A$83=$A21)*('Schoutens Data'!$B$9:$B$83=H$7)*'Schoutens Data'!$D$9:$D$83))</f>
        <v>112.8</v>
      </c>
    </row>
    <row r="22" spans="1:8">
      <c r="A22" s="8">
        <v>1160</v>
      </c>
      <c r="B22" s="7" t="str" cm="1">
        <f t="array" ref="B22">IF(SUMPRODUCT(('Schoutens Data'!$A$9:$A$83=$A22)*('Schoutens Data'!$B$9:$B$83=B$7))=0,"",SUMPRODUCT(('Schoutens Data'!$A$9:$A$83=$A22)*('Schoutens Data'!$B$9:$B$83=B$7)*'Schoutens Data'!$D$9:$D$83))</f>
        <v/>
      </c>
      <c r="C22" s="7" cm="1">
        <f t="array" ref="C22">IF(SUMPRODUCT(('Schoutens Data'!$A$9:$A$83=$A22)*('Schoutens Data'!$B$9:$B$83=C$7))=0,"",SUMPRODUCT(('Schoutens Data'!$A$9:$A$83=$A22)*('Schoutens Data'!$B$9:$B$83=C$7)*'Schoutens Data'!$D$9:$D$83))</f>
        <v>15.3</v>
      </c>
      <c r="D22" s="7" t="str" cm="1">
        <f t="array" ref="D22">IF(SUMPRODUCT(('Schoutens Data'!$A$9:$A$83=$A22)*('Schoutens Data'!$B$9:$B$83=D$7))=0,"",SUMPRODUCT(('Schoutens Data'!$A$9:$A$83=$A22)*('Schoutens Data'!$B$9:$B$83=D$7)*'Schoutens Data'!$D$9:$D$83))</f>
        <v/>
      </c>
      <c r="E22" s="7" t="str" cm="1">
        <f t="array" ref="E22">IF(SUMPRODUCT(('Schoutens Data'!$A$9:$A$83=$A22)*('Schoutens Data'!$B$9:$B$83=E$7))=0,"",SUMPRODUCT(('Schoutens Data'!$A$9:$A$83=$A22)*('Schoutens Data'!$B$9:$B$83=E$7)*'Schoutens Data'!$D$9:$D$83))</f>
        <v/>
      </c>
      <c r="F22" s="7" t="str" cm="1">
        <f t="array" ref="F22">IF(SUMPRODUCT(('Schoutens Data'!$A$9:$A$83=$A22)*('Schoutens Data'!$B$9:$B$83=F$7))=0,"",SUMPRODUCT(('Schoutens Data'!$A$9:$A$83=$A22)*('Schoutens Data'!$B$9:$B$83=F$7)*'Schoutens Data'!$D$9:$D$83))</f>
        <v/>
      </c>
      <c r="G22" s="7" t="str" cm="1">
        <f t="array" ref="G22">IF(SUMPRODUCT(('Schoutens Data'!$A$9:$A$83=$A22)*('Schoutens Data'!$B$9:$B$83=G$7))=0,"",SUMPRODUCT(('Schoutens Data'!$A$9:$A$83=$A22)*('Schoutens Data'!$B$9:$B$83=G$7)*'Schoutens Data'!$D$9:$D$83))</f>
        <v/>
      </c>
      <c r="H22" s="7" t="str" cm="1">
        <f t="array" ref="H22">IF(SUMPRODUCT(('Schoutens Data'!$A$9:$A$83=$A22)*('Schoutens Data'!$B$9:$B$83=H$7))=0,"",SUMPRODUCT(('Schoutens Data'!$A$9:$A$83=$A22)*('Schoutens Data'!$B$9:$B$83=H$7)*'Schoutens Data'!$D$9:$D$83))</f>
        <v/>
      </c>
    </row>
    <row r="23" spans="1:8">
      <c r="A23" s="10">
        <v>1170</v>
      </c>
      <c r="B23" s="9" t="str" cm="1">
        <f t="array" ref="B23">IF(SUMPRODUCT(('Schoutens Data'!$A$9:$A$83=$A23)*('Schoutens Data'!$B$9:$B$83=B$7))=0,"",SUMPRODUCT(('Schoutens Data'!$A$9:$A$83=$A23)*('Schoutens Data'!$B$9:$B$83=B$7)*'Schoutens Data'!$D$9:$D$83))</f>
        <v/>
      </c>
      <c r="C23" s="9" cm="1">
        <f t="array" ref="C23">IF(SUMPRODUCT(('Schoutens Data'!$A$9:$A$83=$A23)*('Schoutens Data'!$B$9:$B$83=C$7))=0,"",SUMPRODUCT(('Schoutens Data'!$A$9:$A$83=$A23)*('Schoutens Data'!$B$9:$B$83=C$7)*'Schoutens Data'!$D$9:$D$83))</f>
        <v>12.1</v>
      </c>
      <c r="D23" s="9" t="str" cm="1">
        <f t="array" ref="D23">IF(SUMPRODUCT(('Schoutens Data'!$A$9:$A$83=$A23)*('Schoutens Data'!$B$9:$B$83=D$7))=0,"",SUMPRODUCT(('Schoutens Data'!$A$9:$A$83=$A23)*('Schoutens Data'!$B$9:$B$83=D$7)*'Schoutens Data'!$D$9:$D$83))</f>
        <v/>
      </c>
      <c r="E23" s="9" t="str" cm="1">
        <f t="array" ref="E23">IF(SUMPRODUCT(('Schoutens Data'!$A$9:$A$83=$A23)*('Schoutens Data'!$B$9:$B$83=E$7))=0,"",SUMPRODUCT(('Schoutens Data'!$A$9:$A$83=$A23)*('Schoutens Data'!$B$9:$B$83=E$7)*'Schoutens Data'!$D$9:$D$83))</f>
        <v/>
      </c>
      <c r="F23" s="9" t="str" cm="1">
        <f t="array" ref="F23">IF(SUMPRODUCT(('Schoutens Data'!$A$9:$A$83=$A23)*('Schoutens Data'!$B$9:$B$83=F$7))=0,"",SUMPRODUCT(('Schoutens Data'!$A$9:$A$83=$A23)*('Schoutens Data'!$B$9:$B$83=F$7)*'Schoutens Data'!$D$9:$D$83))</f>
        <v/>
      </c>
      <c r="G23" s="9" t="str" cm="1">
        <f t="array" ref="G23">IF(SUMPRODUCT(('Schoutens Data'!$A$9:$A$83=$A23)*('Schoutens Data'!$B$9:$B$83=G$7))=0,"",SUMPRODUCT(('Schoutens Data'!$A$9:$A$83=$A23)*('Schoutens Data'!$B$9:$B$83=G$7)*'Schoutens Data'!$D$9:$D$83))</f>
        <v/>
      </c>
      <c r="H23" s="9" t="str" cm="1">
        <f t="array" ref="H23">IF(SUMPRODUCT(('Schoutens Data'!$A$9:$A$83=$A23)*('Schoutens Data'!$B$9:$B$83=H$7))=0,"",SUMPRODUCT(('Schoutens Data'!$A$9:$A$83=$A23)*('Schoutens Data'!$B$9:$B$83=H$7)*'Schoutens Data'!$D$9:$D$83))</f>
        <v/>
      </c>
    </row>
    <row r="24" spans="1:8">
      <c r="A24" s="8">
        <v>1175</v>
      </c>
      <c r="B24" s="7" t="str" cm="1">
        <f t="array" ref="B24">IF(SUMPRODUCT(('Schoutens Data'!$A$9:$A$83=$A24)*('Schoutens Data'!$B$9:$B$83=B$7))=0,"",SUMPRODUCT(('Schoutens Data'!$A$9:$A$83=$A24)*('Schoutens Data'!$B$9:$B$83=B$7)*'Schoutens Data'!$D$9:$D$83))</f>
        <v/>
      </c>
      <c r="C24" s="7" cm="1">
        <f t="array" ref="C24">IF(SUMPRODUCT(('Schoutens Data'!$A$9:$A$83=$A24)*('Schoutens Data'!$B$9:$B$83=C$7))=0,"",SUMPRODUCT(('Schoutens Data'!$A$9:$A$83=$A24)*('Schoutens Data'!$B$9:$B$83=C$7)*'Schoutens Data'!$D$9:$D$83))</f>
        <v>10.9</v>
      </c>
      <c r="D24" s="7" cm="1">
        <f t="array" ref="D24">IF(SUMPRODUCT(('Schoutens Data'!$A$9:$A$83=$A24)*('Schoutens Data'!$B$9:$B$83=D$7))=0,"",SUMPRODUCT(('Schoutens Data'!$A$9:$A$83=$A24)*('Schoutens Data'!$B$9:$B$83=D$7)*'Schoutens Data'!$D$9:$D$83))</f>
        <v>27.7</v>
      </c>
      <c r="E24" s="7" cm="1">
        <f t="array" ref="E24">IF(SUMPRODUCT(('Schoutens Data'!$A$9:$A$83=$A24)*('Schoutens Data'!$B$9:$B$83=E$7))=0,"",SUMPRODUCT(('Schoutens Data'!$A$9:$A$83=$A24)*('Schoutens Data'!$B$9:$B$83=E$7)*'Schoutens Data'!$D$9:$D$83))</f>
        <v>42.5</v>
      </c>
      <c r="F24" s="7" cm="1">
        <f t="array" ref="F24">IF(SUMPRODUCT(('Schoutens Data'!$A$9:$A$83=$A24)*('Schoutens Data'!$B$9:$B$83=F$7))=0,"",SUMPRODUCT(('Schoutens Data'!$A$9:$A$83=$A24)*('Schoutens Data'!$B$9:$B$83=F$7)*'Schoutens Data'!$D$9:$D$83))</f>
        <v>56.6</v>
      </c>
      <c r="G24" s="7" t="str" cm="1">
        <f t="array" ref="G24">IF(SUMPRODUCT(('Schoutens Data'!$A$9:$A$83=$A24)*('Schoutens Data'!$B$9:$B$83=G$7))=0,"",SUMPRODUCT(('Schoutens Data'!$A$9:$A$83=$A24)*('Schoutens Data'!$B$9:$B$83=G$7)*'Schoutens Data'!$D$9:$D$83))</f>
        <v/>
      </c>
      <c r="H24" s="7" cm="1">
        <f t="array" ref="H24">IF(SUMPRODUCT(('Schoutens Data'!$A$9:$A$83=$A24)*('Schoutens Data'!$B$9:$B$83=H$7))=0,"",SUMPRODUCT(('Schoutens Data'!$A$9:$A$83=$A24)*('Schoutens Data'!$B$9:$B$83=H$7)*'Schoutens Data'!$D$9:$D$83))</f>
        <v>99.8</v>
      </c>
    </row>
    <row r="25" spans="1:8">
      <c r="A25" s="10">
        <v>1200</v>
      </c>
      <c r="B25" s="9" t="str" cm="1">
        <f t="array" ref="B25">IF(SUMPRODUCT(('Schoutens Data'!$A$9:$A$83=$A25)*('Schoutens Data'!$B$9:$B$83=B$7))=0,"",SUMPRODUCT(('Schoutens Data'!$A$9:$A$83=$A25)*('Schoutens Data'!$B$9:$B$83=B$7)*'Schoutens Data'!$D$9:$D$83))</f>
        <v/>
      </c>
      <c r="C25" s="9" t="str" cm="1">
        <f t="array" ref="C25">IF(SUMPRODUCT(('Schoutens Data'!$A$9:$A$83=$A25)*('Schoutens Data'!$B$9:$B$83=C$7))=0,"",SUMPRODUCT(('Schoutens Data'!$A$9:$A$83=$A25)*('Schoutens Data'!$B$9:$B$83=C$7)*'Schoutens Data'!$D$9:$D$83))</f>
        <v/>
      </c>
      <c r="D25" s="9" cm="1">
        <f t="array" ref="D25">IF(SUMPRODUCT(('Schoutens Data'!$A$9:$A$83=$A25)*('Schoutens Data'!$B$9:$B$83=D$7))=0,"",SUMPRODUCT(('Schoutens Data'!$A$9:$A$83=$A25)*('Schoutens Data'!$B$9:$B$83=D$7)*'Schoutens Data'!$D$9:$D$83))</f>
        <v>19.600000000000001</v>
      </c>
      <c r="E25" s="9" cm="1">
        <f t="array" ref="E25">IF(SUMPRODUCT(('Schoutens Data'!$A$9:$A$83=$A25)*('Schoutens Data'!$B$9:$B$83=E$7))=0,"",SUMPRODUCT(('Schoutens Data'!$A$9:$A$83=$A25)*('Schoutens Data'!$B$9:$B$83=E$7)*'Schoutens Data'!$D$9:$D$83))</f>
        <v>33</v>
      </c>
      <c r="F25" s="9" cm="1">
        <f t="array" ref="F25">IF(SUMPRODUCT(('Schoutens Data'!$A$9:$A$83=$A25)*('Schoutens Data'!$B$9:$B$83=F$7))=0,"",SUMPRODUCT(('Schoutens Data'!$A$9:$A$83=$A25)*('Schoutens Data'!$B$9:$B$83=F$7)*'Schoutens Data'!$D$9:$D$83))</f>
        <v>46.1</v>
      </c>
      <c r="G25" s="9" cm="1">
        <f t="array" ref="G25">IF(SUMPRODUCT(('Schoutens Data'!$A$9:$A$83=$A25)*('Schoutens Data'!$B$9:$B$83=G$7))=0,"",SUMPRODUCT(('Schoutens Data'!$A$9:$A$83=$A25)*('Schoutens Data'!$B$9:$B$83=G$7)*'Schoutens Data'!$D$9:$D$83))</f>
        <v>60.9</v>
      </c>
      <c r="H25" s="9" t="str" cm="1">
        <f t="array" ref="H25">IF(SUMPRODUCT(('Schoutens Data'!$A$9:$A$83=$A25)*('Schoutens Data'!$B$9:$B$83=H$7))=0,"",SUMPRODUCT(('Schoutens Data'!$A$9:$A$83=$A25)*('Schoutens Data'!$B$9:$B$83=H$7)*'Schoutens Data'!$D$9:$D$83))</f>
        <v/>
      </c>
    </row>
    <row r="26" spans="1:8">
      <c r="A26" s="8">
        <v>1225</v>
      </c>
      <c r="B26" s="7" t="str" cm="1">
        <f t="array" ref="B26">IF(SUMPRODUCT(('Schoutens Data'!$A$9:$A$83=$A26)*('Schoutens Data'!$B$9:$B$83=B$7))=0,"",SUMPRODUCT(('Schoutens Data'!$A$9:$A$83=$A26)*('Schoutens Data'!$B$9:$B$83=B$7)*'Schoutens Data'!$D$9:$D$83))</f>
        <v/>
      </c>
      <c r="C26" s="7" t="str" cm="1">
        <f t="array" ref="C26">IF(SUMPRODUCT(('Schoutens Data'!$A$9:$A$83=$A26)*('Schoutens Data'!$B$9:$B$83=C$7))=0,"",SUMPRODUCT(('Schoutens Data'!$A$9:$A$83=$A26)*('Schoutens Data'!$B$9:$B$83=C$7)*'Schoutens Data'!$D$9:$D$83))</f>
        <v/>
      </c>
      <c r="D26" s="7" cm="1">
        <f t="array" ref="D26">IF(SUMPRODUCT(('Schoutens Data'!$A$9:$A$83=$A26)*('Schoutens Data'!$B$9:$B$83=D$7))=0,"",SUMPRODUCT(('Schoutens Data'!$A$9:$A$83=$A26)*('Schoutens Data'!$B$9:$B$83=D$7)*'Schoutens Data'!$D$9:$D$83))</f>
        <v>13.2</v>
      </c>
      <c r="E26" s="7" cm="1">
        <f t="array" ref="E26">IF(SUMPRODUCT(('Schoutens Data'!$A$9:$A$83=$A26)*('Schoutens Data'!$B$9:$B$83=E$7))=0,"",SUMPRODUCT(('Schoutens Data'!$A$9:$A$83=$A26)*('Schoutens Data'!$B$9:$B$83=E$7)*'Schoutens Data'!$D$9:$D$83))</f>
        <v>24.9</v>
      </c>
      <c r="F26" s="7" cm="1">
        <f t="array" ref="F26">IF(SUMPRODUCT(('Schoutens Data'!$A$9:$A$83=$A26)*('Schoutens Data'!$B$9:$B$83=F$7))=0,"",SUMPRODUCT(('Schoutens Data'!$A$9:$A$83=$A26)*('Schoutens Data'!$B$9:$B$83=F$7)*'Schoutens Data'!$D$9:$D$83))</f>
        <v>36.9</v>
      </c>
      <c r="G26" s="7" cm="1">
        <f t="array" ref="G26">IF(SUMPRODUCT(('Schoutens Data'!$A$9:$A$83=$A26)*('Schoutens Data'!$B$9:$B$83=G$7))=0,"",SUMPRODUCT(('Schoutens Data'!$A$9:$A$83=$A26)*('Schoutens Data'!$B$9:$B$83=G$7)*'Schoutens Data'!$D$9:$D$83))</f>
        <v>49.8</v>
      </c>
      <c r="H26" s="7" t="str" cm="1">
        <f t="array" ref="H26">IF(SUMPRODUCT(('Schoutens Data'!$A$9:$A$83=$A26)*('Schoutens Data'!$B$9:$B$83=H$7))=0,"",SUMPRODUCT(('Schoutens Data'!$A$9:$A$83=$A26)*('Schoutens Data'!$B$9:$B$83=H$7)*'Schoutens Data'!$D$9:$D$83))</f>
        <v/>
      </c>
    </row>
    <row r="27" spans="1:8">
      <c r="A27" s="10">
        <v>1250</v>
      </c>
      <c r="B27" s="9" t="str" cm="1">
        <f t="array" ref="B27">IF(SUMPRODUCT(('Schoutens Data'!$A$9:$A$83=$A27)*('Schoutens Data'!$B$9:$B$83=B$7))=0,"",SUMPRODUCT(('Schoutens Data'!$A$9:$A$83=$A27)*('Schoutens Data'!$B$9:$B$83=B$7)*'Schoutens Data'!$D$9:$D$83))</f>
        <v/>
      </c>
      <c r="C27" s="9" t="str" cm="1">
        <f t="array" ref="C27">IF(SUMPRODUCT(('Schoutens Data'!$A$9:$A$83=$A27)*('Schoutens Data'!$B$9:$B$83=C$7))=0,"",SUMPRODUCT(('Schoutens Data'!$A$9:$A$83=$A27)*('Schoutens Data'!$B$9:$B$83=C$7)*'Schoutens Data'!$D$9:$D$83))</f>
        <v/>
      </c>
      <c r="D27" s="9" t="str" cm="1">
        <f t="array" ref="D27">IF(SUMPRODUCT(('Schoutens Data'!$A$9:$A$83=$A27)*('Schoutens Data'!$B$9:$B$83=D$7))=0,"",SUMPRODUCT(('Schoutens Data'!$A$9:$A$83=$A27)*('Schoutens Data'!$B$9:$B$83=D$7)*'Schoutens Data'!$D$9:$D$83))</f>
        <v/>
      </c>
      <c r="E27" s="9" cm="1">
        <f t="array" ref="E27">IF(SUMPRODUCT(('Schoutens Data'!$A$9:$A$83=$A27)*('Schoutens Data'!$B$9:$B$83=E$7))=0,"",SUMPRODUCT(('Schoutens Data'!$A$9:$A$83=$A27)*('Schoutens Data'!$B$9:$B$83=E$7)*'Schoutens Data'!$D$9:$D$83))</f>
        <v>18.3</v>
      </c>
      <c r="F27" s="9" cm="1">
        <f t="array" ref="F27">IF(SUMPRODUCT(('Schoutens Data'!$A$9:$A$83=$A27)*('Schoutens Data'!$B$9:$B$83=F$7))=0,"",SUMPRODUCT(('Schoutens Data'!$A$9:$A$83=$A27)*('Schoutens Data'!$B$9:$B$83=F$7)*'Schoutens Data'!$D$9:$D$83))</f>
        <v>29.3</v>
      </c>
      <c r="G27" s="9" cm="1">
        <f t="array" ref="G27">IF(SUMPRODUCT(('Schoutens Data'!$A$9:$A$83=$A27)*('Schoutens Data'!$B$9:$B$83=G$7))=0,"",SUMPRODUCT(('Schoutens Data'!$A$9:$A$83=$A27)*('Schoutens Data'!$B$9:$B$83=G$7)*'Schoutens Data'!$D$9:$D$83))</f>
        <v>41.2</v>
      </c>
      <c r="H27" s="9" cm="1">
        <f t="array" ref="H27">IF(SUMPRODUCT(('Schoutens Data'!$A$9:$A$83=$A27)*('Schoutens Data'!$B$9:$B$83=H$7))=0,"",SUMPRODUCT(('Schoutens Data'!$A$9:$A$83=$A27)*('Schoutens Data'!$B$9:$B$83=H$7)*'Schoutens Data'!$D$9:$D$83))</f>
        <v>66.900000000000006</v>
      </c>
    </row>
    <row r="28" spans="1:8">
      <c r="A28" s="8">
        <v>1275</v>
      </c>
      <c r="B28" s="7" t="str" cm="1">
        <f t="array" ref="B28">IF(SUMPRODUCT(('Schoutens Data'!$A$9:$A$83=$A28)*('Schoutens Data'!$B$9:$B$83=B$7))=0,"",SUMPRODUCT(('Schoutens Data'!$A$9:$A$83=$A28)*('Schoutens Data'!$B$9:$B$83=B$7)*'Schoutens Data'!$D$9:$D$83))</f>
        <v/>
      </c>
      <c r="C28" s="7" t="str" cm="1">
        <f t="array" ref="C28">IF(SUMPRODUCT(('Schoutens Data'!$A$9:$A$83=$A28)*('Schoutens Data'!$B$9:$B$83=C$7))=0,"",SUMPRODUCT(('Schoutens Data'!$A$9:$A$83=$A28)*('Schoutens Data'!$B$9:$B$83=C$7)*'Schoutens Data'!$D$9:$D$83))</f>
        <v/>
      </c>
      <c r="D28" s="7" t="str" cm="1">
        <f t="array" ref="D28">IF(SUMPRODUCT(('Schoutens Data'!$A$9:$A$83=$A28)*('Schoutens Data'!$B$9:$B$83=D$7))=0,"",SUMPRODUCT(('Schoutens Data'!$A$9:$A$83=$A28)*('Schoutens Data'!$B$9:$B$83=D$7)*'Schoutens Data'!$D$9:$D$83))</f>
        <v/>
      </c>
      <c r="E28" s="7" cm="1">
        <f t="array" ref="E28">IF(SUMPRODUCT(('Schoutens Data'!$A$9:$A$83=$A28)*('Schoutens Data'!$B$9:$B$83=E$7))=0,"",SUMPRODUCT(('Schoutens Data'!$A$9:$A$83=$A28)*('Schoutens Data'!$B$9:$B$83=E$7)*'Schoutens Data'!$D$9:$D$83))</f>
        <v>13.2</v>
      </c>
      <c r="F28" s="7" cm="1">
        <f t="array" ref="F28">IF(SUMPRODUCT(('Schoutens Data'!$A$9:$A$83=$A28)*('Schoutens Data'!$B$9:$B$83=F$7))=0,"",SUMPRODUCT(('Schoutens Data'!$A$9:$A$83=$A28)*('Schoutens Data'!$B$9:$B$83=F$7)*'Schoutens Data'!$D$9:$D$83))</f>
        <v>22.5</v>
      </c>
      <c r="G28" s="7" t="str" cm="1">
        <f t="array" ref="G28">IF(SUMPRODUCT(('Schoutens Data'!$A$9:$A$83=$A28)*('Schoutens Data'!$B$9:$B$83=G$7))=0,"",SUMPRODUCT(('Schoutens Data'!$A$9:$A$83=$A28)*('Schoutens Data'!$B$9:$B$83=G$7)*'Schoutens Data'!$D$9:$D$83))</f>
        <v/>
      </c>
      <c r="H28" s="7" t="str" cm="1">
        <f t="array" ref="H28">IF(SUMPRODUCT(('Schoutens Data'!$A$9:$A$83=$A28)*('Schoutens Data'!$B$9:$B$83=H$7))=0,"",SUMPRODUCT(('Schoutens Data'!$A$9:$A$83=$A28)*('Schoutens Data'!$B$9:$B$83=H$7)*'Schoutens Data'!$D$9:$D$83))</f>
        <v/>
      </c>
    </row>
    <row r="29" spans="1:8">
      <c r="A29" s="10">
        <v>1300</v>
      </c>
      <c r="B29" s="9" t="str" cm="1">
        <f t="array" ref="B29">IF(SUMPRODUCT(('Schoutens Data'!$A$9:$A$83=$A29)*('Schoutens Data'!$B$9:$B$83=B$7))=0,"",SUMPRODUCT(('Schoutens Data'!$A$9:$A$83=$A29)*('Schoutens Data'!$B$9:$B$83=B$7)*'Schoutens Data'!$D$9:$D$83))</f>
        <v/>
      </c>
      <c r="C29" s="9" t="str" cm="1">
        <f t="array" ref="C29">IF(SUMPRODUCT(('Schoutens Data'!$A$9:$A$83=$A29)*('Schoutens Data'!$B$9:$B$83=C$7))=0,"",SUMPRODUCT(('Schoutens Data'!$A$9:$A$83=$A29)*('Schoutens Data'!$B$9:$B$83=C$7)*'Schoutens Data'!$D$9:$D$83))</f>
        <v/>
      </c>
      <c r="D29" s="9" t="str" cm="1">
        <f t="array" ref="D29">IF(SUMPRODUCT(('Schoutens Data'!$A$9:$A$83=$A29)*('Schoutens Data'!$B$9:$B$83=D$7))=0,"",SUMPRODUCT(('Schoutens Data'!$A$9:$A$83=$A29)*('Schoutens Data'!$B$9:$B$83=D$7)*'Schoutens Data'!$D$9:$D$83))</f>
        <v/>
      </c>
      <c r="E29" s="9" t="str" cm="1">
        <f t="array" ref="E29">IF(SUMPRODUCT(('Schoutens Data'!$A$9:$A$83=$A29)*('Schoutens Data'!$B$9:$B$83=E$7))=0,"",SUMPRODUCT(('Schoutens Data'!$A$9:$A$83=$A29)*('Schoutens Data'!$B$9:$B$83=E$7)*'Schoutens Data'!$D$9:$D$83))</f>
        <v/>
      </c>
      <c r="F29" s="9" cm="1">
        <f t="array" ref="F29">IF(SUMPRODUCT(('Schoutens Data'!$A$9:$A$83=$A29)*('Schoutens Data'!$B$9:$B$83=F$7))=0,"",SUMPRODUCT(('Schoutens Data'!$A$9:$A$83=$A29)*('Schoutens Data'!$B$9:$B$83=F$7)*'Schoutens Data'!$D$9:$D$83))</f>
        <v>17.2</v>
      </c>
      <c r="G29" s="9" cm="1">
        <f t="array" ref="G29">IF(SUMPRODUCT(('Schoutens Data'!$A$9:$A$83=$A29)*('Schoutens Data'!$B$9:$B$83=G$7))=0,"",SUMPRODUCT(('Schoutens Data'!$A$9:$A$83=$A29)*('Schoutens Data'!$B$9:$B$83=G$7)*'Schoutens Data'!$D$9:$D$83))</f>
        <v>27.1</v>
      </c>
      <c r="H29" s="9" cm="1">
        <f t="array" ref="H29">IF(SUMPRODUCT(('Schoutens Data'!$A$9:$A$83=$A29)*('Schoutens Data'!$B$9:$B$83=H$7))=0,"",SUMPRODUCT(('Schoutens Data'!$A$9:$A$83=$A29)*('Schoutens Data'!$B$9:$B$83=H$7)*'Schoutens Data'!$D$9:$D$83))</f>
        <v>49.5</v>
      </c>
    </row>
    <row r="30" spans="1:8">
      <c r="A30" s="8">
        <v>1325</v>
      </c>
      <c r="B30" s="7" t="str" cm="1">
        <f t="array" ref="B30">IF(SUMPRODUCT(('Schoutens Data'!$A$9:$A$83=$A30)*('Schoutens Data'!$B$9:$B$83=B$7))=0,"",SUMPRODUCT(('Schoutens Data'!$A$9:$A$83=$A30)*('Schoutens Data'!$B$9:$B$83=B$7)*'Schoutens Data'!$D$9:$D$83))</f>
        <v/>
      </c>
      <c r="C30" s="7" t="str" cm="1">
        <f t="array" ref="C30">IF(SUMPRODUCT(('Schoutens Data'!$A$9:$A$83=$A30)*('Schoutens Data'!$B$9:$B$83=C$7))=0,"",SUMPRODUCT(('Schoutens Data'!$A$9:$A$83=$A30)*('Schoutens Data'!$B$9:$B$83=C$7)*'Schoutens Data'!$D$9:$D$83))</f>
        <v/>
      </c>
      <c r="D30" s="7" t="str" cm="1">
        <f t="array" ref="D30">IF(SUMPRODUCT(('Schoutens Data'!$A$9:$A$83=$A30)*('Schoutens Data'!$B$9:$B$83=D$7))=0,"",SUMPRODUCT(('Schoutens Data'!$A$9:$A$83=$A30)*('Schoutens Data'!$B$9:$B$83=D$7)*'Schoutens Data'!$D$9:$D$83))</f>
        <v/>
      </c>
      <c r="E30" s="7" t="str" cm="1">
        <f t="array" ref="E30">IF(SUMPRODUCT(('Schoutens Data'!$A$9:$A$83=$A30)*('Schoutens Data'!$B$9:$B$83=E$7))=0,"",SUMPRODUCT(('Schoutens Data'!$A$9:$A$83=$A30)*('Schoutens Data'!$B$9:$B$83=E$7)*'Schoutens Data'!$D$9:$D$83))</f>
        <v/>
      </c>
      <c r="F30" s="7" cm="1">
        <f t="array" ref="F30">IF(SUMPRODUCT(('Schoutens Data'!$A$9:$A$83=$A30)*('Schoutens Data'!$B$9:$B$83=F$7))=0,"",SUMPRODUCT(('Schoutens Data'!$A$9:$A$83=$A30)*('Schoutens Data'!$B$9:$B$83=F$7)*'Schoutens Data'!$D$9:$D$83))</f>
        <v>12.8</v>
      </c>
      <c r="G30" s="7" t="str" cm="1">
        <f t="array" ref="G30">IF(SUMPRODUCT(('Schoutens Data'!$A$9:$A$83=$A30)*('Schoutens Data'!$B$9:$B$83=G$7))=0,"",SUMPRODUCT(('Schoutens Data'!$A$9:$A$83=$A30)*('Schoutens Data'!$B$9:$B$83=G$7)*'Schoutens Data'!$D$9:$D$83))</f>
        <v/>
      </c>
      <c r="H30" s="7" t="str" cm="1">
        <f t="array" ref="H30">IF(SUMPRODUCT(('Schoutens Data'!$A$9:$A$83=$A30)*('Schoutens Data'!$B$9:$B$83=H$7))=0,"",SUMPRODUCT(('Schoutens Data'!$A$9:$A$83=$A30)*('Schoutens Data'!$B$9:$B$83=H$7)*'Schoutens Data'!$D$9:$D$83))</f>
        <v/>
      </c>
    </row>
    <row r="31" spans="1:8">
      <c r="A31" s="10">
        <v>1350</v>
      </c>
      <c r="B31" s="9" t="str" cm="1">
        <f t="array" ref="B31">IF(SUMPRODUCT(('Schoutens Data'!$A$9:$A$83=$A31)*('Schoutens Data'!$B$9:$B$83=B$7))=0,"",SUMPRODUCT(('Schoutens Data'!$A$9:$A$83=$A31)*('Schoutens Data'!$B$9:$B$83=B$7)*'Schoutens Data'!$D$9:$D$83))</f>
        <v/>
      </c>
      <c r="C31" s="9" t="str" cm="1">
        <f t="array" ref="C31">IF(SUMPRODUCT(('Schoutens Data'!$A$9:$A$83=$A31)*('Schoutens Data'!$B$9:$B$83=C$7))=0,"",SUMPRODUCT(('Schoutens Data'!$A$9:$A$83=$A31)*('Schoutens Data'!$B$9:$B$83=C$7)*'Schoutens Data'!$D$9:$D$83))</f>
        <v/>
      </c>
      <c r="D31" s="9" t="str" cm="1">
        <f t="array" ref="D31">IF(SUMPRODUCT(('Schoutens Data'!$A$9:$A$83=$A31)*('Schoutens Data'!$B$9:$B$83=D$7))=0,"",SUMPRODUCT(('Schoutens Data'!$A$9:$A$83=$A31)*('Schoutens Data'!$B$9:$B$83=D$7)*'Schoutens Data'!$D$9:$D$83))</f>
        <v/>
      </c>
      <c r="E31" s="9" t="str" cm="1">
        <f t="array" ref="E31">IF(SUMPRODUCT(('Schoutens Data'!$A$9:$A$83=$A31)*('Schoutens Data'!$B$9:$B$83=E$7))=0,"",SUMPRODUCT(('Schoutens Data'!$A$9:$A$83=$A31)*('Schoutens Data'!$B$9:$B$83=E$7)*'Schoutens Data'!$D$9:$D$83))</f>
        <v/>
      </c>
      <c r="F31" s="9" t="str" cm="1">
        <f t="array" ref="F31">IF(SUMPRODUCT(('Schoutens Data'!$A$9:$A$83=$A31)*('Schoutens Data'!$B$9:$B$83=F$7))=0,"",SUMPRODUCT(('Schoutens Data'!$A$9:$A$83=$A31)*('Schoutens Data'!$B$9:$B$83=F$7)*'Schoutens Data'!$D$9:$D$83))</f>
        <v/>
      </c>
      <c r="G31" s="9" cm="1">
        <f t="array" ref="G31">IF(SUMPRODUCT(('Schoutens Data'!$A$9:$A$83=$A31)*('Schoutens Data'!$B$9:$B$83=G$7))=0,"",SUMPRODUCT(('Schoutens Data'!$A$9:$A$83=$A31)*('Schoutens Data'!$B$9:$B$83=G$7)*'Schoutens Data'!$D$9:$D$83))</f>
        <v>17.100000000000001</v>
      </c>
      <c r="H31" s="9" cm="1">
        <f t="array" ref="H31">IF(SUMPRODUCT(('Schoutens Data'!$A$9:$A$83=$A31)*('Schoutens Data'!$B$9:$B$83=H$7))=0,"",SUMPRODUCT(('Schoutens Data'!$A$9:$A$83=$A31)*('Schoutens Data'!$B$9:$B$83=H$7)*'Schoutens Data'!$D$9:$D$83))</f>
        <v>35.700000000000003</v>
      </c>
    </row>
    <row r="32" spans="1:8">
      <c r="A32" s="8">
        <v>1400</v>
      </c>
      <c r="B32" s="7" t="str" cm="1">
        <f t="array" ref="B32">IF(SUMPRODUCT(('Schoutens Data'!$A$9:$A$83=$A32)*('Schoutens Data'!$B$9:$B$83=B$7))=0,"",SUMPRODUCT(('Schoutens Data'!$A$9:$A$83=$A32)*('Schoutens Data'!$B$9:$B$83=B$7)*'Schoutens Data'!$D$9:$D$83))</f>
        <v/>
      </c>
      <c r="C32" s="7" t="str" cm="1">
        <f t="array" ref="C32">IF(SUMPRODUCT(('Schoutens Data'!$A$9:$A$83=$A32)*('Schoutens Data'!$B$9:$B$83=C$7))=0,"",SUMPRODUCT(('Schoutens Data'!$A$9:$A$83=$A32)*('Schoutens Data'!$B$9:$B$83=C$7)*'Schoutens Data'!$D$9:$D$83))</f>
        <v/>
      </c>
      <c r="D32" s="7" t="str" cm="1">
        <f t="array" ref="D32">IF(SUMPRODUCT(('Schoutens Data'!$A$9:$A$83=$A32)*('Schoutens Data'!$B$9:$B$83=D$7))=0,"",SUMPRODUCT(('Schoutens Data'!$A$9:$A$83=$A32)*('Schoutens Data'!$B$9:$B$83=D$7)*'Schoutens Data'!$D$9:$D$83))</f>
        <v/>
      </c>
      <c r="E32" s="7" t="str" cm="1">
        <f t="array" ref="E32">IF(SUMPRODUCT(('Schoutens Data'!$A$9:$A$83=$A32)*('Schoutens Data'!$B$9:$B$83=E$7))=0,"",SUMPRODUCT(('Schoutens Data'!$A$9:$A$83=$A32)*('Schoutens Data'!$B$9:$B$83=E$7)*'Schoutens Data'!$D$9:$D$83))</f>
        <v/>
      </c>
      <c r="F32" s="7" t="str" cm="1">
        <f t="array" ref="F32">IF(SUMPRODUCT(('Schoutens Data'!$A$9:$A$83=$A32)*('Schoutens Data'!$B$9:$B$83=F$7))=0,"",SUMPRODUCT(('Schoutens Data'!$A$9:$A$83=$A32)*('Schoutens Data'!$B$9:$B$83=F$7)*'Schoutens Data'!$D$9:$D$83))</f>
        <v/>
      </c>
      <c r="G32" s="7" cm="1">
        <f t="array" ref="G32">IF(SUMPRODUCT(('Schoutens Data'!$A$9:$A$83=$A32)*('Schoutens Data'!$B$9:$B$83=G$7))=0,"",SUMPRODUCT(('Schoutens Data'!$A$9:$A$83=$A32)*('Schoutens Data'!$B$9:$B$83=G$7)*'Schoutens Data'!$D$9:$D$83))</f>
        <v>10.1</v>
      </c>
      <c r="H32" s="7" cm="1">
        <f t="array" ref="H32">IF(SUMPRODUCT(('Schoutens Data'!$A$9:$A$83=$A32)*('Schoutens Data'!$B$9:$B$83=H$7))=0,"",SUMPRODUCT(('Schoutens Data'!$A$9:$A$83=$A32)*('Schoutens Data'!$B$9:$B$83=H$7)*'Schoutens Data'!$D$9:$D$83))</f>
        <v>25.2</v>
      </c>
    </row>
    <row r="33" spans="1:9">
      <c r="A33" s="10">
        <v>1450</v>
      </c>
      <c r="B33" s="9" t="str" cm="1">
        <f t="array" ref="B33">IF(SUMPRODUCT(('Schoutens Data'!$A$9:$A$83=$A33)*('Schoutens Data'!$B$9:$B$83=B$7))=0,"",SUMPRODUCT(('Schoutens Data'!$A$9:$A$83=$A33)*('Schoutens Data'!$B$9:$B$83=B$7)*'Schoutens Data'!$D$9:$D$83))</f>
        <v/>
      </c>
      <c r="C33" s="9" t="str" cm="1">
        <f t="array" ref="C33">IF(SUMPRODUCT(('Schoutens Data'!$A$9:$A$83=$A33)*('Schoutens Data'!$B$9:$B$83=C$7))=0,"",SUMPRODUCT(('Schoutens Data'!$A$9:$A$83=$A33)*('Schoutens Data'!$B$9:$B$83=C$7)*'Schoutens Data'!$D$9:$D$83))</f>
        <v/>
      </c>
      <c r="D33" s="9" t="str" cm="1">
        <f t="array" ref="D33">IF(SUMPRODUCT(('Schoutens Data'!$A$9:$A$83=$A33)*('Schoutens Data'!$B$9:$B$83=D$7))=0,"",SUMPRODUCT(('Schoutens Data'!$A$9:$A$83=$A33)*('Schoutens Data'!$B$9:$B$83=D$7)*'Schoutens Data'!$D$9:$D$83))</f>
        <v/>
      </c>
      <c r="E33" s="9" t="str" cm="1">
        <f t="array" ref="E33">IF(SUMPRODUCT(('Schoutens Data'!$A$9:$A$83=$A33)*('Schoutens Data'!$B$9:$B$83=E$7))=0,"",SUMPRODUCT(('Schoutens Data'!$A$9:$A$83=$A33)*('Schoutens Data'!$B$9:$B$83=E$7)*'Schoutens Data'!$D$9:$D$83))</f>
        <v/>
      </c>
      <c r="F33" s="9" t="str" cm="1">
        <f t="array" ref="F33">IF(SUMPRODUCT(('Schoutens Data'!$A$9:$A$83=$A33)*('Schoutens Data'!$B$9:$B$83=F$7))=0,"",SUMPRODUCT(('Schoutens Data'!$A$9:$A$83=$A33)*('Schoutens Data'!$B$9:$B$83=F$7)*'Schoutens Data'!$D$9:$D$83))</f>
        <v/>
      </c>
      <c r="G33" s="9" t="str" cm="1">
        <f t="array" ref="G33">IF(SUMPRODUCT(('Schoutens Data'!$A$9:$A$83=$A33)*('Schoutens Data'!$B$9:$B$83=G$7))=0,"",SUMPRODUCT(('Schoutens Data'!$A$9:$A$83=$A33)*('Schoutens Data'!$B$9:$B$83=G$7)*'Schoutens Data'!$D$9:$D$83))</f>
        <v/>
      </c>
      <c r="H33" s="9" cm="1">
        <f t="array" ref="H33">IF(SUMPRODUCT(('Schoutens Data'!$A$9:$A$83=$A33)*('Schoutens Data'!$B$9:$B$83=H$7))=0,"",SUMPRODUCT(('Schoutens Data'!$A$9:$A$83=$A33)*('Schoutens Data'!$B$9:$B$83=H$7)*'Schoutens Data'!$D$9:$D$83))</f>
        <v>17</v>
      </c>
    </row>
    <row r="34" spans="1:9">
      <c r="A34" s="8">
        <v>1500</v>
      </c>
      <c r="B34" s="7" t="str" cm="1">
        <f t="array" ref="B34">IF(SUMPRODUCT(('Schoutens Data'!$A$9:$A$83=$A34)*('Schoutens Data'!$B$9:$B$83=B$7))=0,"",SUMPRODUCT(('Schoutens Data'!$A$9:$A$83=$A34)*('Schoutens Data'!$B$9:$B$83=B$7)*'Schoutens Data'!$D$9:$D$83))</f>
        <v/>
      </c>
      <c r="C34" s="7" t="str" cm="1">
        <f t="array" ref="C34">IF(SUMPRODUCT(('Schoutens Data'!$A$9:$A$83=$A34)*('Schoutens Data'!$B$9:$B$83=C$7))=0,"",SUMPRODUCT(('Schoutens Data'!$A$9:$A$83=$A34)*('Schoutens Data'!$B$9:$B$83=C$7)*'Schoutens Data'!$D$9:$D$83))</f>
        <v/>
      </c>
      <c r="D34" s="7" t="str" cm="1">
        <f t="array" ref="D34">IF(SUMPRODUCT(('Schoutens Data'!$A$9:$A$83=$A34)*('Schoutens Data'!$B$9:$B$83=D$7))=0,"",SUMPRODUCT(('Schoutens Data'!$A$9:$A$83=$A34)*('Schoutens Data'!$B$9:$B$83=D$7)*'Schoutens Data'!$D$9:$D$83))</f>
        <v/>
      </c>
      <c r="E34" s="7" t="str" cm="1">
        <f t="array" ref="E34">IF(SUMPRODUCT(('Schoutens Data'!$A$9:$A$83=$A34)*('Schoutens Data'!$B$9:$B$83=E$7))=0,"",SUMPRODUCT(('Schoutens Data'!$A$9:$A$83=$A34)*('Schoutens Data'!$B$9:$B$83=E$7)*'Schoutens Data'!$D$9:$D$83))</f>
        <v/>
      </c>
      <c r="F34" s="7" t="str" cm="1">
        <f t="array" ref="F34">IF(SUMPRODUCT(('Schoutens Data'!$A$9:$A$83=$A34)*('Schoutens Data'!$B$9:$B$83=F$7))=0,"",SUMPRODUCT(('Schoutens Data'!$A$9:$A$83=$A34)*('Schoutens Data'!$B$9:$B$83=F$7)*'Schoutens Data'!$D$9:$D$83))</f>
        <v/>
      </c>
      <c r="G34" s="7" t="str" cm="1">
        <f t="array" ref="G34">IF(SUMPRODUCT(('Schoutens Data'!$A$9:$A$83=$A34)*('Schoutens Data'!$B$9:$B$83=G$7))=0,"",SUMPRODUCT(('Schoutens Data'!$A$9:$A$83=$A34)*('Schoutens Data'!$B$9:$B$83=G$7)*'Schoutens Data'!$D$9:$D$83))</f>
        <v/>
      </c>
      <c r="H34" s="7" cm="1">
        <f t="array" ref="H34">IF(SUMPRODUCT(('Schoutens Data'!$A$9:$A$83=$A34)*('Schoutens Data'!$B$9:$B$83=H$7))=0,"",SUMPRODUCT(('Schoutens Data'!$A$9:$A$83=$A34)*('Schoutens Data'!$B$9:$B$83=H$7)*'Schoutens Data'!$D$9:$D$83))</f>
        <v>12.2</v>
      </c>
    </row>
    <row r="36" spans="1:9">
      <c r="A36" s="29" t="s">
        <v>9</v>
      </c>
      <c r="B36" s="29"/>
      <c r="C36" s="29"/>
      <c r="D36" s="29"/>
      <c r="E36" s="29"/>
      <c r="F36" s="29"/>
      <c r="G36" s="29"/>
      <c r="H36" s="29"/>
      <c r="I36" s="29"/>
    </row>
  </sheetData>
  <mergeCells count="2">
    <mergeCell ref="A1:I1"/>
    <mergeCell ref="A36:I3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E70C-4EA8-49C1-835B-88EFE050FF43}">
  <dimension ref="A1:K83"/>
  <sheetViews>
    <sheetView tabSelected="1" zoomScaleNormal="100" workbookViewId="0">
      <selection activeCell="F9" sqref="F9"/>
    </sheetView>
  </sheetViews>
  <sheetFormatPr defaultColWidth="8.5703125" defaultRowHeight="15"/>
  <cols>
    <col min="1" max="1" width="13.42578125" style="1" bestFit="1" customWidth="1"/>
    <col min="2" max="2" width="13.140625" style="1" customWidth="1"/>
    <col min="3" max="3" width="13" style="1" customWidth="1"/>
    <col min="4" max="4" width="7" style="1" customWidth="1"/>
    <col min="5" max="5" width="8" style="1" customWidth="1"/>
    <col min="6" max="6" width="7.42578125" style="1" bestFit="1" customWidth="1"/>
    <col min="7" max="8" width="8" style="1" customWidth="1"/>
    <col min="9" max="10" width="9" style="1" customWidth="1"/>
    <col min="11" max="16384" width="8.5703125" style="1"/>
  </cols>
  <sheetData>
    <row r="1" spans="1:11" ht="18.95" customHeight="1">
      <c r="A1" s="28" t="s">
        <v>26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>
      <c r="A2" s="3" t="s">
        <v>8</v>
      </c>
      <c r="B2" s="2">
        <v>37364</v>
      </c>
      <c r="C2" s="4" t="s">
        <v>7</v>
      </c>
      <c r="D2" s="4"/>
      <c r="E2" s="4"/>
      <c r="F2" s="4"/>
      <c r="G2" s="4"/>
      <c r="H2" s="4"/>
      <c r="I2" s="4"/>
      <c r="J2" s="4"/>
      <c r="K2" s="4"/>
    </row>
    <row r="3" spans="1:11">
      <c r="A3" s="3" t="s">
        <v>6</v>
      </c>
      <c r="B3" s="6">
        <v>1124.47</v>
      </c>
      <c r="C3" s="4" t="s">
        <v>5</v>
      </c>
      <c r="D3" s="4"/>
      <c r="E3" s="4"/>
      <c r="F3" s="4"/>
      <c r="G3" s="4"/>
      <c r="H3" s="4"/>
      <c r="I3" s="4"/>
      <c r="J3" s="4"/>
      <c r="K3" s="4"/>
    </row>
    <row r="4" spans="1:11">
      <c r="A4" s="3" t="s">
        <v>4</v>
      </c>
      <c r="B4" s="5">
        <v>1.9E-2</v>
      </c>
      <c r="C4" s="4" t="s">
        <v>3</v>
      </c>
      <c r="D4" s="4"/>
      <c r="E4" s="4"/>
      <c r="F4" s="4"/>
      <c r="G4" s="4"/>
      <c r="H4" s="4"/>
      <c r="I4" s="4"/>
      <c r="J4" s="4"/>
      <c r="K4" s="4"/>
    </row>
    <row r="5" spans="1:11">
      <c r="A5" s="3" t="s">
        <v>2</v>
      </c>
      <c r="B5" s="5">
        <v>1.2E-2</v>
      </c>
      <c r="C5" s="4" t="s">
        <v>1</v>
      </c>
      <c r="D5" s="4"/>
      <c r="E5" s="4"/>
      <c r="F5" s="4"/>
      <c r="G5" s="4"/>
      <c r="H5" s="4"/>
      <c r="I5" s="4"/>
      <c r="J5" s="4"/>
      <c r="K5" s="4"/>
    </row>
    <row r="6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8" spans="1:11">
      <c r="A8" s="11" t="s">
        <v>25</v>
      </c>
      <c r="B8" s="11" t="s">
        <v>24</v>
      </c>
      <c r="C8" s="11" t="s">
        <v>23</v>
      </c>
      <c r="D8" s="11" t="s">
        <v>22</v>
      </c>
      <c r="E8" s="11" t="s">
        <v>21</v>
      </c>
      <c r="F8" s="11" t="s">
        <v>20</v>
      </c>
      <c r="G8" s="11" t="s">
        <v>19</v>
      </c>
      <c r="H8" s="11" t="s">
        <v>18</v>
      </c>
      <c r="I8" s="11" t="s">
        <v>17</v>
      </c>
      <c r="J8" s="11" t="s">
        <v>16</v>
      </c>
    </row>
    <row r="9" spans="1:11">
      <c r="A9" s="20">
        <v>975</v>
      </c>
      <c r="B9" s="30">
        <v>37500</v>
      </c>
      <c r="C9" s="19">
        <v>37520</v>
      </c>
      <c r="D9" s="18">
        <v>161.6</v>
      </c>
      <c r="E9" s="15">
        <v>0.42739700000000003</v>
      </c>
      <c r="F9" s="17">
        <f>$B$4</f>
        <v>1.9E-2</v>
      </c>
      <c r="G9" s="17">
        <f>$B$5</f>
        <v>1.2E-2</v>
      </c>
      <c r="H9" s="16">
        <f>$B$3</f>
        <v>1124.47</v>
      </c>
      <c r="I9" s="7">
        <f t="shared" ref="I9:I40" si="0">H9*EXP((F9-G9)*E9)</f>
        <v>1127.8392031747107</v>
      </c>
      <c r="J9" s="15">
        <f t="shared" ref="J9:J40" si="1">LN(A9/I9)</f>
        <v>-0.14562140052185688</v>
      </c>
    </row>
    <row r="10" spans="1:11">
      <c r="A10" s="24">
        <v>975</v>
      </c>
      <c r="B10" s="32">
        <v>37591</v>
      </c>
      <c r="C10" s="23">
        <v>37611</v>
      </c>
      <c r="D10" s="22">
        <v>173.3</v>
      </c>
      <c r="E10" s="15">
        <v>0.67671199999999998</v>
      </c>
      <c r="F10" s="17">
        <f t="shared" ref="F10:F73" si="2">$B$4</f>
        <v>1.9E-2</v>
      </c>
      <c r="G10" s="17">
        <f t="shared" ref="G10:G73" si="3">$B$5</f>
        <v>1.2E-2</v>
      </c>
      <c r="H10" s="16">
        <f t="shared" ref="H10:H73" si="4">$B$3</f>
        <v>1124.47</v>
      </c>
      <c r="I10" s="9">
        <f t="shared" si="0"/>
        <v>1129.8092323436485</v>
      </c>
      <c r="J10" s="21">
        <f t="shared" si="1"/>
        <v>-0.14736660552185671</v>
      </c>
    </row>
    <row r="11" spans="1:11">
      <c r="A11" s="20">
        <v>995</v>
      </c>
      <c r="B11" s="30">
        <v>37500</v>
      </c>
      <c r="C11" s="19">
        <v>37520</v>
      </c>
      <c r="D11" s="18">
        <v>144.80000000000001</v>
      </c>
      <c r="E11" s="15">
        <v>0.42739700000000003</v>
      </c>
      <c r="F11" s="17">
        <f t="shared" si="2"/>
        <v>1.9E-2</v>
      </c>
      <c r="G11" s="17">
        <f t="shared" si="3"/>
        <v>1.2E-2</v>
      </c>
      <c r="H11" s="16">
        <f t="shared" si="4"/>
        <v>1124.47</v>
      </c>
      <c r="I11" s="7">
        <f t="shared" si="0"/>
        <v>1127.8392031747107</v>
      </c>
      <c r="J11" s="15">
        <f t="shared" si="1"/>
        <v>-0.12531613436111128</v>
      </c>
    </row>
    <row r="12" spans="1:11">
      <c r="A12" s="24">
        <v>995</v>
      </c>
      <c r="B12" s="32">
        <v>37591</v>
      </c>
      <c r="C12" s="23">
        <v>37611</v>
      </c>
      <c r="D12" s="22">
        <v>157</v>
      </c>
      <c r="E12" s="15">
        <v>0.67671199999999998</v>
      </c>
      <c r="F12" s="17">
        <f t="shared" si="2"/>
        <v>1.9E-2</v>
      </c>
      <c r="G12" s="17">
        <f t="shared" si="3"/>
        <v>1.2E-2</v>
      </c>
      <c r="H12" s="16">
        <f t="shared" si="4"/>
        <v>1124.47</v>
      </c>
      <c r="I12" s="9">
        <f t="shared" si="0"/>
        <v>1129.8092323436485</v>
      </c>
      <c r="J12" s="21">
        <f t="shared" si="1"/>
        <v>-0.12706133936111111</v>
      </c>
    </row>
    <row r="13" spans="1:11">
      <c r="A13" s="20">
        <v>995</v>
      </c>
      <c r="B13" s="30">
        <v>37773</v>
      </c>
      <c r="C13" s="19">
        <v>37793</v>
      </c>
      <c r="D13" s="18">
        <v>182.1</v>
      </c>
      <c r="E13" s="15">
        <v>1.1753420000000001</v>
      </c>
      <c r="F13" s="17">
        <f t="shared" si="2"/>
        <v>1.9E-2</v>
      </c>
      <c r="G13" s="17">
        <f t="shared" si="3"/>
        <v>1.2E-2</v>
      </c>
      <c r="H13" s="16">
        <f t="shared" si="4"/>
        <v>1124.47</v>
      </c>
      <c r="I13" s="7">
        <f t="shared" si="0"/>
        <v>1133.7596200120063</v>
      </c>
      <c r="J13" s="15">
        <f t="shared" si="1"/>
        <v>-0.1305517493611113</v>
      </c>
    </row>
    <row r="14" spans="1:11">
      <c r="A14" s="24">
        <v>1025</v>
      </c>
      <c r="B14" s="32">
        <v>37500</v>
      </c>
      <c r="C14" s="23">
        <v>37520</v>
      </c>
      <c r="D14" s="22">
        <v>120.1</v>
      </c>
      <c r="E14" s="15">
        <v>0.42739700000000003</v>
      </c>
      <c r="F14" s="17">
        <f t="shared" si="2"/>
        <v>1.9E-2</v>
      </c>
      <c r="G14" s="17">
        <f t="shared" si="3"/>
        <v>1.2E-2</v>
      </c>
      <c r="H14" s="16">
        <f t="shared" si="4"/>
        <v>1124.47</v>
      </c>
      <c r="I14" s="9">
        <f t="shared" si="0"/>
        <v>1127.8392031747107</v>
      </c>
      <c r="J14" s="21">
        <f t="shared" si="1"/>
        <v>-9.5610979947195487E-2</v>
      </c>
    </row>
    <row r="15" spans="1:11">
      <c r="A15" s="20">
        <v>1025</v>
      </c>
      <c r="B15" s="30">
        <v>37591</v>
      </c>
      <c r="C15" s="19">
        <v>37611</v>
      </c>
      <c r="D15" s="18">
        <v>133.1</v>
      </c>
      <c r="E15" s="15">
        <v>0.67671199999999998</v>
      </c>
      <c r="F15" s="17">
        <f t="shared" si="2"/>
        <v>1.9E-2</v>
      </c>
      <c r="G15" s="17">
        <f t="shared" si="3"/>
        <v>1.2E-2</v>
      </c>
      <c r="H15" s="16">
        <f t="shared" si="4"/>
        <v>1124.47</v>
      </c>
      <c r="I15" s="7">
        <f t="shared" si="0"/>
        <v>1129.8092323436485</v>
      </c>
      <c r="J15" s="15">
        <f t="shared" si="1"/>
        <v>-9.7356184947195404E-2</v>
      </c>
    </row>
    <row r="16" spans="1:11">
      <c r="A16" s="24">
        <v>1025</v>
      </c>
      <c r="B16" s="32">
        <v>37681</v>
      </c>
      <c r="C16" s="23">
        <v>37702</v>
      </c>
      <c r="D16" s="22">
        <v>146.5</v>
      </c>
      <c r="E16" s="15">
        <v>0.92602700000000004</v>
      </c>
      <c r="F16" s="17">
        <f t="shared" si="2"/>
        <v>1.9E-2</v>
      </c>
      <c r="G16" s="17">
        <f t="shared" si="3"/>
        <v>1.2E-2</v>
      </c>
      <c r="H16" s="16">
        <f t="shared" si="4"/>
        <v>1124.47</v>
      </c>
      <c r="I16" s="9">
        <f t="shared" si="0"/>
        <v>1131.7827026191869</v>
      </c>
      <c r="J16" s="21">
        <f t="shared" si="1"/>
        <v>-9.9101389947195154E-2</v>
      </c>
    </row>
    <row r="17" spans="1:10">
      <c r="A17" s="20">
        <v>1050</v>
      </c>
      <c r="B17" s="30">
        <v>37408</v>
      </c>
      <c r="C17" s="19">
        <v>37429</v>
      </c>
      <c r="D17" s="18">
        <v>84.5</v>
      </c>
      <c r="E17" s="15">
        <v>0.17808199999999999</v>
      </c>
      <c r="F17" s="17">
        <f t="shared" si="2"/>
        <v>1.9E-2</v>
      </c>
      <c r="G17" s="17">
        <f t="shared" si="3"/>
        <v>1.2E-2</v>
      </c>
      <c r="H17" s="16">
        <f t="shared" si="4"/>
        <v>1124.47</v>
      </c>
      <c r="I17" s="7">
        <f t="shared" si="0"/>
        <v>1125.8726091121739</v>
      </c>
      <c r="J17" s="15">
        <f t="shared" si="1"/>
        <v>-6.9768223368134735E-2</v>
      </c>
    </row>
    <row r="18" spans="1:10">
      <c r="A18" s="24">
        <v>1050</v>
      </c>
      <c r="B18" s="32">
        <v>37500</v>
      </c>
      <c r="C18" s="23">
        <v>37520</v>
      </c>
      <c r="D18" s="22">
        <v>100.7</v>
      </c>
      <c r="E18" s="15">
        <v>0.42739700000000003</v>
      </c>
      <c r="F18" s="17">
        <f t="shared" si="2"/>
        <v>1.9E-2</v>
      </c>
      <c r="G18" s="17">
        <f t="shared" si="3"/>
        <v>1.2E-2</v>
      </c>
      <c r="H18" s="16">
        <f t="shared" si="4"/>
        <v>1124.47</v>
      </c>
      <c r="I18" s="9">
        <f t="shared" si="0"/>
        <v>1127.8392031747107</v>
      </c>
      <c r="J18" s="21">
        <f t="shared" si="1"/>
        <v>-7.1513428368134985E-2</v>
      </c>
    </row>
    <row r="19" spans="1:10">
      <c r="A19" s="20">
        <v>1050</v>
      </c>
      <c r="B19" s="30">
        <v>37591</v>
      </c>
      <c r="C19" s="19">
        <v>37611</v>
      </c>
      <c r="D19" s="18">
        <v>114.8</v>
      </c>
      <c r="E19" s="15">
        <v>0.67671199999999998</v>
      </c>
      <c r="F19" s="17">
        <f t="shared" si="2"/>
        <v>1.9E-2</v>
      </c>
      <c r="G19" s="17">
        <f t="shared" si="3"/>
        <v>1.2E-2</v>
      </c>
      <c r="H19" s="16">
        <f t="shared" si="4"/>
        <v>1124.47</v>
      </c>
      <c r="I19" s="7">
        <f t="shared" si="0"/>
        <v>1129.8092323436485</v>
      </c>
      <c r="J19" s="15">
        <f t="shared" si="1"/>
        <v>-7.3258633368134818E-2</v>
      </c>
    </row>
    <row r="20" spans="1:10">
      <c r="A20" s="24">
        <v>1050</v>
      </c>
      <c r="B20" s="32">
        <v>37773</v>
      </c>
      <c r="C20" s="23">
        <v>37793</v>
      </c>
      <c r="D20" s="22">
        <v>143</v>
      </c>
      <c r="E20" s="15">
        <v>1.1753420000000001</v>
      </c>
      <c r="F20" s="17">
        <f t="shared" si="2"/>
        <v>1.9E-2</v>
      </c>
      <c r="G20" s="17">
        <f t="shared" si="3"/>
        <v>1.2E-2</v>
      </c>
      <c r="H20" s="16">
        <f t="shared" si="4"/>
        <v>1124.47</v>
      </c>
      <c r="I20" s="9">
        <f t="shared" si="0"/>
        <v>1133.7596200120063</v>
      </c>
      <c r="J20" s="21">
        <f t="shared" si="1"/>
        <v>-7.674904336813497E-2</v>
      </c>
    </row>
    <row r="21" spans="1:10">
      <c r="A21" s="20">
        <v>1050</v>
      </c>
      <c r="B21" s="30">
        <v>37956</v>
      </c>
      <c r="C21" s="19">
        <v>37975</v>
      </c>
      <c r="D21" s="18">
        <v>171.4</v>
      </c>
      <c r="E21" s="15">
        <v>1.6739729999999999</v>
      </c>
      <c r="F21" s="17">
        <f t="shared" si="2"/>
        <v>1.9E-2</v>
      </c>
      <c r="G21" s="17">
        <f t="shared" si="3"/>
        <v>1.2E-2</v>
      </c>
      <c r="H21" s="16">
        <f t="shared" si="4"/>
        <v>1124.47</v>
      </c>
      <c r="I21" s="7">
        <f t="shared" si="0"/>
        <v>1137.7238282087853</v>
      </c>
      <c r="J21" s="15">
        <f t="shared" si="1"/>
        <v>-8.0239460368134952E-2</v>
      </c>
    </row>
    <row r="22" spans="1:10">
      <c r="A22" s="24">
        <v>1075</v>
      </c>
      <c r="B22" s="32">
        <v>37408</v>
      </c>
      <c r="C22" s="23">
        <v>37429</v>
      </c>
      <c r="D22" s="22">
        <v>64.3</v>
      </c>
      <c r="E22" s="15">
        <v>0.17808199999999999</v>
      </c>
      <c r="F22" s="17">
        <f t="shared" si="2"/>
        <v>1.9E-2</v>
      </c>
      <c r="G22" s="17">
        <f t="shared" si="3"/>
        <v>1.2E-2</v>
      </c>
      <c r="H22" s="16">
        <f t="shared" si="4"/>
        <v>1124.47</v>
      </c>
      <c r="I22" s="9">
        <f t="shared" si="0"/>
        <v>1125.8726091121739</v>
      </c>
      <c r="J22" s="21">
        <f t="shared" si="1"/>
        <v>-4.6237725957940602E-2</v>
      </c>
    </row>
    <row r="23" spans="1:10">
      <c r="A23" s="20">
        <v>1075</v>
      </c>
      <c r="B23" s="30">
        <v>37500</v>
      </c>
      <c r="C23" s="19">
        <v>37520</v>
      </c>
      <c r="D23" s="18">
        <v>82.5</v>
      </c>
      <c r="E23" s="15">
        <v>0.42739700000000003</v>
      </c>
      <c r="F23" s="17">
        <f t="shared" si="2"/>
        <v>1.9E-2</v>
      </c>
      <c r="G23" s="17">
        <f t="shared" si="3"/>
        <v>1.2E-2</v>
      </c>
      <c r="H23" s="16">
        <f t="shared" si="4"/>
        <v>1124.47</v>
      </c>
      <c r="I23" s="7">
        <f t="shared" si="0"/>
        <v>1127.8392031747107</v>
      </c>
      <c r="J23" s="15">
        <f t="shared" si="1"/>
        <v>-4.7982930957940859E-2</v>
      </c>
    </row>
    <row r="24" spans="1:10">
      <c r="A24" s="24">
        <v>1075</v>
      </c>
      <c r="B24" s="32">
        <v>37591</v>
      </c>
      <c r="C24" s="23">
        <v>37611</v>
      </c>
      <c r="D24" s="22">
        <v>97.6</v>
      </c>
      <c r="E24" s="15">
        <v>0.67671199999999998</v>
      </c>
      <c r="F24" s="17">
        <f t="shared" si="2"/>
        <v>1.9E-2</v>
      </c>
      <c r="G24" s="17">
        <f t="shared" si="3"/>
        <v>1.2E-2</v>
      </c>
      <c r="H24" s="16">
        <f t="shared" si="4"/>
        <v>1124.47</v>
      </c>
      <c r="I24" s="9">
        <f t="shared" si="0"/>
        <v>1129.8092323436485</v>
      </c>
      <c r="J24" s="21">
        <f t="shared" si="1"/>
        <v>-4.972813595794074E-2</v>
      </c>
    </row>
    <row r="25" spans="1:10">
      <c r="A25" s="20">
        <v>1090</v>
      </c>
      <c r="B25" s="30">
        <v>37377</v>
      </c>
      <c r="C25" s="19">
        <v>37394</v>
      </c>
      <c r="D25" s="18">
        <v>43.1</v>
      </c>
      <c r="E25" s="15">
        <v>8.2192000000000001E-2</v>
      </c>
      <c r="F25" s="17">
        <f t="shared" si="2"/>
        <v>1.9E-2</v>
      </c>
      <c r="G25" s="17">
        <f t="shared" si="3"/>
        <v>1.2E-2</v>
      </c>
      <c r="H25" s="16">
        <f t="shared" si="4"/>
        <v>1124.47</v>
      </c>
      <c r="I25" s="7">
        <f t="shared" si="0"/>
        <v>1125.1171432148114</v>
      </c>
      <c r="J25" s="15">
        <f t="shared" si="1"/>
        <v>-3.1709461296514564E-2</v>
      </c>
    </row>
    <row r="26" spans="1:10">
      <c r="A26" s="24">
        <v>1100</v>
      </c>
      <c r="B26" s="32">
        <v>37377</v>
      </c>
      <c r="C26" s="23">
        <v>37394</v>
      </c>
      <c r="D26" s="22">
        <v>35.6</v>
      </c>
      <c r="E26" s="15">
        <v>8.2192000000000001E-2</v>
      </c>
      <c r="F26" s="17">
        <f t="shared" si="2"/>
        <v>1.9E-2</v>
      </c>
      <c r="G26" s="17">
        <f t="shared" si="3"/>
        <v>1.2E-2</v>
      </c>
      <c r="H26" s="16">
        <f t="shared" si="4"/>
        <v>1124.47</v>
      </c>
      <c r="I26" s="9">
        <f t="shared" si="0"/>
        <v>1125.1171432148114</v>
      </c>
      <c r="J26" s="21">
        <f t="shared" si="1"/>
        <v>-2.2576977733241996E-2</v>
      </c>
    </row>
    <row r="27" spans="1:10">
      <c r="A27" s="20">
        <v>1100</v>
      </c>
      <c r="B27" s="30">
        <v>37500</v>
      </c>
      <c r="C27" s="19">
        <v>37520</v>
      </c>
      <c r="D27" s="18">
        <v>65.5</v>
      </c>
      <c r="E27" s="15">
        <v>0.42739700000000003</v>
      </c>
      <c r="F27" s="17">
        <f t="shared" si="2"/>
        <v>1.9E-2</v>
      </c>
      <c r="G27" s="17">
        <f t="shared" si="3"/>
        <v>1.2E-2</v>
      </c>
      <c r="H27" s="16">
        <f t="shared" si="4"/>
        <v>1124.47</v>
      </c>
      <c r="I27" s="7">
        <f t="shared" si="0"/>
        <v>1127.8392031747107</v>
      </c>
      <c r="J27" s="15">
        <f t="shared" si="1"/>
        <v>-2.4993412733242116E-2</v>
      </c>
    </row>
    <row r="28" spans="1:10">
      <c r="A28" s="24">
        <v>1100</v>
      </c>
      <c r="B28" s="32">
        <v>37591</v>
      </c>
      <c r="C28" s="23">
        <v>37611</v>
      </c>
      <c r="D28" s="22">
        <v>81.2</v>
      </c>
      <c r="E28" s="15">
        <v>0.67671199999999998</v>
      </c>
      <c r="F28" s="17">
        <f t="shared" si="2"/>
        <v>1.9E-2</v>
      </c>
      <c r="G28" s="17">
        <f t="shared" si="3"/>
        <v>1.2E-2</v>
      </c>
      <c r="H28" s="16">
        <f t="shared" si="4"/>
        <v>1124.47</v>
      </c>
      <c r="I28" s="9">
        <f t="shared" si="0"/>
        <v>1129.8092323436485</v>
      </c>
      <c r="J28" s="21">
        <f t="shared" si="1"/>
        <v>-2.6738617733242036E-2</v>
      </c>
    </row>
    <row r="29" spans="1:10">
      <c r="A29" s="20">
        <v>1100</v>
      </c>
      <c r="B29" s="30">
        <v>37681</v>
      </c>
      <c r="C29" s="19">
        <v>37702</v>
      </c>
      <c r="D29" s="18">
        <v>96.2</v>
      </c>
      <c r="E29" s="15">
        <v>0.92602700000000004</v>
      </c>
      <c r="F29" s="17">
        <f t="shared" si="2"/>
        <v>1.9E-2</v>
      </c>
      <c r="G29" s="17">
        <f t="shared" si="3"/>
        <v>1.2E-2</v>
      </c>
      <c r="H29" s="16">
        <f t="shared" si="4"/>
        <v>1124.47</v>
      </c>
      <c r="I29" s="7">
        <f t="shared" si="0"/>
        <v>1131.7827026191869</v>
      </c>
      <c r="J29" s="15">
        <f t="shared" si="1"/>
        <v>-2.8483822733241793E-2</v>
      </c>
    </row>
    <row r="30" spans="1:10">
      <c r="A30" s="24">
        <v>1100</v>
      </c>
      <c r="B30" s="32">
        <v>37773</v>
      </c>
      <c r="C30" s="23">
        <v>37793</v>
      </c>
      <c r="D30" s="22">
        <v>111.3</v>
      </c>
      <c r="E30" s="15">
        <v>1.1753420000000001</v>
      </c>
      <c r="F30" s="17">
        <f t="shared" si="2"/>
        <v>1.9E-2</v>
      </c>
      <c r="G30" s="17">
        <f t="shared" si="3"/>
        <v>1.2E-2</v>
      </c>
      <c r="H30" s="16">
        <f t="shared" si="4"/>
        <v>1124.47</v>
      </c>
      <c r="I30" s="9">
        <f t="shared" si="0"/>
        <v>1133.7596200120063</v>
      </c>
      <c r="J30" s="21">
        <f t="shared" si="1"/>
        <v>-3.0229027733242167E-2</v>
      </c>
    </row>
    <row r="31" spans="1:10">
      <c r="A31" s="20">
        <v>1100</v>
      </c>
      <c r="B31" s="30">
        <v>37956</v>
      </c>
      <c r="C31" s="19">
        <v>37975</v>
      </c>
      <c r="D31" s="18">
        <v>140.4</v>
      </c>
      <c r="E31" s="15">
        <v>1.6739729999999999</v>
      </c>
      <c r="F31" s="17">
        <f t="shared" si="2"/>
        <v>1.9E-2</v>
      </c>
      <c r="G31" s="17">
        <f t="shared" si="3"/>
        <v>1.2E-2</v>
      </c>
      <c r="H31" s="16">
        <f t="shared" si="4"/>
        <v>1124.47</v>
      </c>
      <c r="I31" s="7">
        <f t="shared" si="0"/>
        <v>1137.7238282087853</v>
      </c>
      <c r="J31" s="15">
        <f t="shared" si="1"/>
        <v>-3.3719444733242052E-2</v>
      </c>
    </row>
    <row r="32" spans="1:10">
      <c r="A32" s="24">
        <v>1110</v>
      </c>
      <c r="B32" s="32">
        <v>37408</v>
      </c>
      <c r="C32" s="23">
        <v>37429</v>
      </c>
      <c r="D32" s="22">
        <v>39.5</v>
      </c>
      <c r="E32" s="15">
        <v>0.17808199999999999</v>
      </c>
      <c r="F32" s="17">
        <f t="shared" si="2"/>
        <v>1.9E-2</v>
      </c>
      <c r="G32" s="17">
        <f t="shared" si="3"/>
        <v>1.2E-2</v>
      </c>
      <c r="H32" s="16">
        <f t="shared" si="4"/>
        <v>1124.47</v>
      </c>
      <c r="I32" s="9">
        <f t="shared" si="0"/>
        <v>1125.8726091121739</v>
      </c>
      <c r="J32" s="21">
        <f t="shared" si="1"/>
        <v>-1.4198372213323953E-2</v>
      </c>
    </row>
    <row r="33" spans="1:10">
      <c r="A33" s="20">
        <v>1120</v>
      </c>
      <c r="B33" s="30">
        <v>37377</v>
      </c>
      <c r="C33" s="19">
        <v>37394</v>
      </c>
      <c r="D33" s="18">
        <v>22.9</v>
      </c>
      <c r="E33" s="15">
        <v>8.2192000000000001E-2</v>
      </c>
      <c r="F33" s="17">
        <f t="shared" si="2"/>
        <v>1.9E-2</v>
      </c>
      <c r="G33" s="17">
        <f t="shared" si="3"/>
        <v>1.2E-2</v>
      </c>
      <c r="H33" s="16">
        <f t="shared" si="4"/>
        <v>1124.47</v>
      </c>
      <c r="I33" s="7">
        <f t="shared" si="0"/>
        <v>1125.1171432148114</v>
      </c>
      <c r="J33" s="15">
        <f t="shared" si="1"/>
        <v>-4.5584722305637123E-3</v>
      </c>
    </row>
    <row r="34" spans="1:10">
      <c r="A34" s="24">
        <v>1120</v>
      </c>
      <c r="B34" s="32">
        <v>37408</v>
      </c>
      <c r="C34" s="23">
        <v>37429</v>
      </c>
      <c r="D34" s="22">
        <v>33.5</v>
      </c>
      <c r="E34" s="15">
        <v>0.17808199999999999</v>
      </c>
      <c r="F34" s="17">
        <f t="shared" si="2"/>
        <v>1.9E-2</v>
      </c>
      <c r="G34" s="17">
        <f t="shared" si="3"/>
        <v>1.2E-2</v>
      </c>
      <c r="H34" s="16">
        <f t="shared" si="4"/>
        <v>1124.47</v>
      </c>
      <c r="I34" s="9">
        <f t="shared" si="0"/>
        <v>1125.8726091121739</v>
      </c>
      <c r="J34" s="21">
        <f t="shared" si="1"/>
        <v>-5.2297022305635606E-3</v>
      </c>
    </row>
    <row r="35" spans="1:10">
      <c r="A35" s="20">
        <v>1125</v>
      </c>
      <c r="B35" s="30">
        <v>37377</v>
      </c>
      <c r="C35" s="19">
        <v>37394</v>
      </c>
      <c r="D35" s="18">
        <v>20.2</v>
      </c>
      <c r="E35" s="15">
        <v>8.2192000000000001E-2</v>
      </c>
      <c r="F35" s="17">
        <f t="shared" si="2"/>
        <v>1.9E-2</v>
      </c>
      <c r="G35" s="17">
        <f t="shared" si="3"/>
        <v>1.2E-2</v>
      </c>
      <c r="H35" s="16">
        <f t="shared" si="4"/>
        <v>1124.47</v>
      </c>
      <c r="I35" s="7">
        <f t="shared" si="0"/>
        <v>1125.1171432148114</v>
      </c>
      <c r="J35" s="15">
        <f t="shared" si="1"/>
        <v>-1.0412188118335753E-4</v>
      </c>
    </row>
    <row r="36" spans="1:10">
      <c r="A36" s="24">
        <v>1125</v>
      </c>
      <c r="B36" s="32">
        <v>37408</v>
      </c>
      <c r="C36" s="23">
        <v>37429</v>
      </c>
      <c r="D36" s="22">
        <v>30.7</v>
      </c>
      <c r="E36" s="15">
        <v>0.17808199999999999</v>
      </c>
      <c r="F36" s="17">
        <f t="shared" si="2"/>
        <v>1.9E-2</v>
      </c>
      <c r="G36" s="17">
        <f t="shared" si="3"/>
        <v>1.2E-2</v>
      </c>
      <c r="H36" s="16">
        <f t="shared" si="4"/>
        <v>1124.47</v>
      </c>
      <c r="I36" s="9">
        <f t="shared" si="0"/>
        <v>1125.8726091121739</v>
      </c>
      <c r="J36" s="21">
        <f t="shared" si="1"/>
        <v>-7.753518811832328E-4</v>
      </c>
    </row>
    <row r="37" spans="1:10">
      <c r="A37" s="20">
        <v>1125</v>
      </c>
      <c r="B37" s="30">
        <v>37500</v>
      </c>
      <c r="C37" s="19">
        <v>37520</v>
      </c>
      <c r="D37" s="18">
        <v>51</v>
      </c>
      <c r="E37" s="15">
        <v>0.42739700000000003</v>
      </c>
      <c r="F37" s="17">
        <f t="shared" si="2"/>
        <v>1.9E-2</v>
      </c>
      <c r="G37" s="17">
        <f t="shared" si="3"/>
        <v>1.2E-2</v>
      </c>
      <c r="H37" s="16">
        <f t="shared" si="4"/>
        <v>1124.47</v>
      </c>
      <c r="I37" s="7">
        <f t="shared" si="0"/>
        <v>1127.8392031747107</v>
      </c>
      <c r="J37" s="15">
        <f t="shared" si="1"/>
        <v>-2.52055688118352E-3</v>
      </c>
    </row>
    <row r="38" spans="1:10">
      <c r="A38" s="24">
        <v>1125</v>
      </c>
      <c r="B38" s="32">
        <v>37591</v>
      </c>
      <c r="C38" s="23">
        <v>37611</v>
      </c>
      <c r="D38" s="22">
        <v>66.900000000000006</v>
      </c>
      <c r="E38" s="15">
        <v>0.67671199999999998</v>
      </c>
      <c r="F38" s="17">
        <f t="shared" si="2"/>
        <v>1.9E-2</v>
      </c>
      <c r="G38" s="17">
        <f t="shared" si="3"/>
        <v>1.2E-2</v>
      </c>
      <c r="H38" s="16">
        <f t="shared" si="4"/>
        <v>1124.47</v>
      </c>
      <c r="I38" s="9">
        <f t="shared" si="0"/>
        <v>1129.8092323436485</v>
      </c>
      <c r="J38" s="21">
        <f t="shared" si="1"/>
        <v>-4.2657618811833622E-3</v>
      </c>
    </row>
    <row r="39" spans="1:10">
      <c r="A39" s="20">
        <v>1125</v>
      </c>
      <c r="B39" s="30">
        <v>37681</v>
      </c>
      <c r="C39" s="19">
        <v>37702</v>
      </c>
      <c r="D39" s="18">
        <v>81.7</v>
      </c>
      <c r="E39" s="15">
        <v>0.92602700000000004</v>
      </c>
      <c r="F39" s="17">
        <f t="shared" si="2"/>
        <v>1.9E-2</v>
      </c>
      <c r="G39" s="17">
        <f t="shared" si="3"/>
        <v>1.2E-2</v>
      </c>
      <c r="H39" s="16">
        <f t="shared" si="4"/>
        <v>1124.47</v>
      </c>
      <c r="I39" s="7">
        <f t="shared" si="0"/>
        <v>1131.7827026191869</v>
      </c>
      <c r="J39" s="15">
        <f t="shared" si="1"/>
        <v>-6.0109668811832726E-3</v>
      </c>
    </row>
    <row r="40" spans="1:10">
      <c r="A40" s="24">
        <v>1125</v>
      </c>
      <c r="B40" s="32">
        <v>37773</v>
      </c>
      <c r="C40" s="23">
        <v>37793</v>
      </c>
      <c r="D40" s="22">
        <v>97</v>
      </c>
      <c r="E40" s="15">
        <v>1.1753420000000001</v>
      </c>
      <c r="F40" s="17">
        <f t="shared" si="2"/>
        <v>1.9E-2</v>
      </c>
      <c r="G40" s="17">
        <f t="shared" si="3"/>
        <v>1.2E-2</v>
      </c>
      <c r="H40" s="16">
        <f t="shared" si="4"/>
        <v>1124.47</v>
      </c>
      <c r="I40" s="9">
        <f t="shared" si="0"/>
        <v>1133.7596200120063</v>
      </c>
      <c r="J40" s="21">
        <f t="shared" si="1"/>
        <v>-7.7561718811835377E-3</v>
      </c>
    </row>
    <row r="41" spans="1:10">
      <c r="A41" s="20">
        <v>1130</v>
      </c>
      <c r="B41" s="30">
        <v>37408</v>
      </c>
      <c r="C41" s="19">
        <v>37429</v>
      </c>
      <c r="D41" s="18">
        <v>28</v>
      </c>
      <c r="E41" s="15">
        <v>0.17808199999999999</v>
      </c>
      <c r="F41" s="17">
        <f t="shared" si="2"/>
        <v>1.9E-2</v>
      </c>
      <c r="G41" s="17">
        <f t="shared" si="3"/>
        <v>1.2E-2</v>
      </c>
      <c r="H41" s="16">
        <f t="shared" si="4"/>
        <v>1124.47</v>
      </c>
      <c r="I41" s="7">
        <f t="shared" ref="I41:I72" si="5">H41*EXP((F41-G41)*E41)</f>
        <v>1125.8726091121739</v>
      </c>
      <c r="J41" s="15">
        <f t="shared" ref="J41:J72" si="6">LN(A41/I41)</f>
        <v>3.6592451866824505E-3</v>
      </c>
    </row>
    <row r="42" spans="1:10">
      <c r="A42" s="24">
        <v>1135</v>
      </c>
      <c r="B42" s="32">
        <v>37408</v>
      </c>
      <c r="C42" s="23">
        <v>37429</v>
      </c>
      <c r="D42" s="22">
        <v>25.6</v>
      </c>
      <c r="E42" s="15">
        <v>0.17808199999999999</v>
      </c>
      <c r="F42" s="17">
        <f t="shared" si="2"/>
        <v>1.9E-2</v>
      </c>
      <c r="G42" s="17">
        <f t="shared" si="3"/>
        <v>1.2E-2</v>
      </c>
      <c r="H42" s="16">
        <f t="shared" si="4"/>
        <v>1124.47</v>
      </c>
      <c r="I42" s="9">
        <f t="shared" si="5"/>
        <v>1125.8726091121739</v>
      </c>
      <c r="J42" s="21">
        <f t="shared" si="6"/>
        <v>8.0742633957992943E-3</v>
      </c>
    </row>
    <row r="43" spans="1:10">
      <c r="A43" s="20">
        <v>1135</v>
      </c>
      <c r="B43" s="30">
        <v>37500</v>
      </c>
      <c r="C43" s="19">
        <v>37520</v>
      </c>
      <c r="D43" s="18">
        <v>45.5</v>
      </c>
      <c r="E43" s="15">
        <v>0.42739700000000003</v>
      </c>
      <c r="F43" s="17">
        <f t="shared" si="2"/>
        <v>1.9E-2</v>
      </c>
      <c r="G43" s="17">
        <f t="shared" si="3"/>
        <v>1.2E-2</v>
      </c>
      <c r="H43" s="16">
        <f t="shared" si="4"/>
        <v>1124.47</v>
      </c>
      <c r="I43" s="7">
        <f t="shared" si="5"/>
        <v>1127.8392031747107</v>
      </c>
      <c r="J43" s="15">
        <f t="shared" si="6"/>
        <v>6.3290583957989139E-3</v>
      </c>
    </row>
    <row r="44" spans="1:10">
      <c r="A44" s="24">
        <v>1140</v>
      </c>
      <c r="B44" s="32">
        <v>37377</v>
      </c>
      <c r="C44" s="23">
        <v>37394</v>
      </c>
      <c r="D44" s="22">
        <v>13.3</v>
      </c>
      <c r="E44" s="15">
        <v>8.2192000000000001E-2</v>
      </c>
      <c r="F44" s="17">
        <f t="shared" si="2"/>
        <v>1.9E-2</v>
      </c>
      <c r="G44" s="17">
        <f t="shared" si="3"/>
        <v>1.2E-2</v>
      </c>
      <c r="H44" s="16">
        <f t="shared" si="4"/>
        <v>1124.47</v>
      </c>
      <c r="I44" s="9">
        <f t="shared" si="5"/>
        <v>1125.1171432148114</v>
      </c>
      <c r="J44" s="21">
        <f t="shared" si="6"/>
        <v>1.3141104868837284E-2</v>
      </c>
    </row>
    <row r="45" spans="1:10">
      <c r="A45" s="20">
        <v>1140</v>
      </c>
      <c r="B45" s="30">
        <v>37408</v>
      </c>
      <c r="C45" s="19">
        <v>37429</v>
      </c>
      <c r="D45" s="18">
        <v>23.2</v>
      </c>
      <c r="E45" s="15">
        <v>0.17808199999999999</v>
      </c>
      <c r="F45" s="17">
        <f t="shared" si="2"/>
        <v>1.9E-2</v>
      </c>
      <c r="G45" s="17">
        <f t="shared" si="3"/>
        <v>1.2E-2</v>
      </c>
      <c r="H45" s="16">
        <f t="shared" si="4"/>
        <v>1124.47</v>
      </c>
      <c r="I45" s="7">
        <f t="shared" si="5"/>
        <v>1125.8726091121739</v>
      </c>
      <c r="J45" s="15">
        <f t="shared" si="6"/>
        <v>1.2469874868837438E-2</v>
      </c>
    </row>
    <row r="46" spans="1:10">
      <c r="A46" s="24">
        <v>1140</v>
      </c>
      <c r="B46" s="32">
        <v>37591</v>
      </c>
      <c r="C46" s="23">
        <v>37611</v>
      </c>
      <c r="D46" s="22">
        <v>58.9</v>
      </c>
      <c r="E46" s="15">
        <v>0.67671199999999998</v>
      </c>
      <c r="F46" s="17">
        <f t="shared" si="2"/>
        <v>1.9E-2</v>
      </c>
      <c r="G46" s="17">
        <f t="shared" si="3"/>
        <v>1.2E-2</v>
      </c>
      <c r="H46" s="16">
        <f t="shared" si="4"/>
        <v>1124.47</v>
      </c>
      <c r="I46" s="9">
        <f t="shared" si="5"/>
        <v>1129.8092323436485</v>
      </c>
      <c r="J46" s="21">
        <f t="shared" si="6"/>
        <v>8.9794648688373436E-3</v>
      </c>
    </row>
    <row r="47" spans="1:10">
      <c r="A47" s="20">
        <v>1150</v>
      </c>
      <c r="B47" s="30">
        <v>37408</v>
      </c>
      <c r="C47" s="19">
        <v>37429</v>
      </c>
      <c r="D47" s="18">
        <v>19.100000000000001</v>
      </c>
      <c r="E47" s="15">
        <v>0.17808199999999999</v>
      </c>
      <c r="F47" s="17">
        <f t="shared" si="2"/>
        <v>1.9E-2</v>
      </c>
      <c r="G47" s="17">
        <f t="shared" si="3"/>
        <v>1.2E-2</v>
      </c>
      <c r="H47" s="16">
        <f t="shared" si="4"/>
        <v>1124.47</v>
      </c>
      <c r="I47" s="7">
        <f t="shared" si="5"/>
        <v>1125.8726091121739</v>
      </c>
      <c r="J47" s="15">
        <f t="shared" si="6"/>
        <v>2.1203554837591919E-2</v>
      </c>
    </row>
    <row r="48" spans="1:10">
      <c r="A48" s="24">
        <v>1150</v>
      </c>
      <c r="B48" s="32">
        <v>37500</v>
      </c>
      <c r="C48" s="23">
        <v>37520</v>
      </c>
      <c r="D48" s="22">
        <v>38.1</v>
      </c>
      <c r="E48" s="15">
        <v>0.42739700000000003</v>
      </c>
      <c r="F48" s="17">
        <f t="shared" si="2"/>
        <v>1.9E-2</v>
      </c>
      <c r="G48" s="17">
        <f t="shared" si="3"/>
        <v>1.2E-2</v>
      </c>
      <c r="H48" s="16">
        <f t="shared" si="4"/>
        <v>1124.47</v>
      </c>
      <c r="I48" s="9">
        <f t="shared" si="5"/>
        <v>1127.8392031747107</v>
      </c>
      <c r="J48" s="21">
        <f t="shared" si="6"/>
        <v>1.9458349837591617E-2</v>
      </c>
    </row>
    <row r="49" spans="1:10">
      <c r="A49" s="20">
        <v>1150</v>
      </c>
      <c r="B49" s="30">
        <v>37591</v>
      </c>
      <c r="C49" s="19">
        <v>37611</v>
      </c>
      <c r="D49" s="18">
        <v>53.9</v>
      </c>
      <c r="E49" s="15">
        <v>0.67671199999999998</v>
      </c>
      <c r="F49" s="17">
        <f t="shared" si="2"/>
        <v>1.9E-2</v>
      </c>
      <c r="G49" s="17">
        <f t="shared" si="3"/>
        <v>1.2E-2</v>
      </c>
      <c r="H49" s="16">
        <f t="shared" si="4"/>
        <v>1124.47</v>
      </c>
      <c r="I49" s="7">
        <f t="shared" si="5"/>
        <v>1129.8092323436485</v>
      </c>
      <c r="J49" s="15">
        <f t="shared" si="6"/>
        <v>1.7713144837591847E-2</v>
      </c>
    </row>
    <row r="50" spans="1:10">
      <c r="A50" s="24">
        <v>1150</v>
      </c>
      <c r="B50" s="32">
        <v>37681</v>
      </c>
      <c r="C50" s="23">
        <v>37702</v>
      </c>
      <c r="D50" s="22">
        <v>68.3</v>
      </c>
      <c r="E50" s="15">
        <v>0.92602700000000004</v>
      </c>
      <c r="F50" s="17">
        <f t="shared" si="2"/>
        <v>1.9E-2</v>
      </c>
      <c r="G50" s="17">
        <f t="shared" si="3"/>
        <v>1.2E-2</v>
      </c>
      <c r="H50" s="16">
        <f t="shared" si="4"/>
        <v>1124.47</v>
      </c>
      <c r="I50" s="9">
        <f t="shared" si="5"/>
        <v>1131.7827026191869</v>
      </c>
      <c r="J50" s="21">
        <f t="shared" si="6"/>
        <v>1.596793983759201E-2</v>
      </c>
    </row>
    <row r="51" spans="1:10">
      <c r="A51" s="20">
        <v>1150</v>
      </c>
      <c r="B51" s="30">
        <v>37773</v>
      </c>
      <c r="C51" s="19">
        <v>37793</v>
      </c>
      <c r="D51" s="18">
        <v>83.3</v>
      </c>
      <c r="E51" s="15">
        <v>1.1753420000000001</v>
      </c>
      <c r="F51" s="17">
        <f t="shared" si="2"/>
        <v>1.9E-2</v>
      </c>
      <c r="G51" s="17">
        <f t="shared" si="3"/>
        <v>1.2E-2</v>
      </c>
      <c r="H51" s="16">
        <f t="shared" si="4"/>
        <v>1124.47</v>
      </c>
      <c r="I51" s="7">
        <f t="shared" si="5"/>
        <v>1133.7596200120063</v>
      </c>
      <c r="J51" s="15">
        <f t="shared" si="6"/>
        <v>1.4222734837591627E-2</v>
      </c>
    </row>
    <row r="52" spans="1:10">
      <c r="A52" s="24">
        <v>1150</v>
      </c>
      <c r="B52" s="32">
        <v>37956</v>
      </c>
      <c r="C52" s="23">
        <v>37975</v>
      </c>
      <c r="D52" s="22">
        <v>112.8</v>
      </c>
      <c r="E52" s="15">
        <v>1.6739729999999999</v>
      </c>
      <c r="F52" s="17">
        <f t="shared" si="2"/>
        <v>1.9E-2</v>
      </c>
      <c r="G52" s="17">
        <f t="shared" si="3"/>
        <v>1.2E-2</v>
      </c>
      <c r="H52" s="16">
        <f t="shared" si="4"/>
        <v>1124.47</v>
      </c>
      <c r="I52" s="9">
        <f t="shared" si="5"/>
        <v>1137.7238282087853</v>
      </c>
      <c r="J52" s="21">
        <f t="shared" si="6"/>
        <v>1.0732317837591833E-2</v>
      </c>
    </row>
    <row r="53" spans="1:10">
      <c r="A53" s="20">
        <v>1160</v>
      </c>
      <c r="B53" s="30">
        <v>37408</v>
      </c>
      <c r="C53" s="19">
        <v>37429</v>
      </c>
      <c r="D53" s="18">
        <v>15.3</v>
      </c>
      <c r="E53" s="15">
        <v>0.17808199999999999</v>
      </c>
      <c r="F53" s="17">
        <f t="shared" si="2"/>
        <v>1.9E-2</v>
      </c>
      <c r="G53" s="17">
        <f t="shared" si="3"/>
        <v>1.2E-2</v>
      </c>
      <c r="H53" s="16">
        <f t="shared" si="4"/>
        <v>1124.47</v>
      </c>
      <c r="I53" s="7">
        <f t="shared" si="5"/>
        <v>1125.8726091121739</v>
      </c>
      <c r="J53" s="15">
        <f t="shared" si="6"/>
        <v>2.9861617580706594E-2</v>
      </c>
    </row>
    <row r="54" spans="1:10">
      <c r="A54" s="24">
        <v>1170</v>
      </c>
      <c r="B54" s="32">
        <v>37408</v>
      </c>
      <c r="C54" s="23">
        <v>37429</v>
      </c>
      <c r="D54" s="22">
        <v>12.1</v>
      </c>
      <c r="E54" s="15">
        <v>0.17808199999999999</v>
      </c>
      <c r="F54" s="17">
        <f t="shared" si="2"/>
        <v>1.9E-2</v>
      </c>
      <c r="G54" s="17">
        <f t="shared" si="3"/>
        <v>1.2E-2</v>
      </c>
      <c r="H54" s="16">
        <f t="shared" si="4"/>
        <v>1124.47</v>
      </c>
      <c r="I54" s="9">
        <f t="shared" si="5"/>
        <v>1125.8726091121739</v>
      </c>
      <c r="J54" s="21">
        <f t="shared" si="6"/>
        <v>3.8445361272098161E-2</v>
      </c>
    </row>
    <row r="55" spans="1:10">
      <c r="A55" s="20">
        <v>1175</v>
      </c>
      <c r="B55" s="30">
        <v>37408</v>
      </c>
      <c r="C55" s="19">
        <v>37429</v>
      </c>
      <c r="D55" s="18">
        <v>10.9</v>
      </c>
      <c r="E55" s="15">
        <v>0.17808199999999999</v>
      </c>
      <c r="F55" s="17">
        <f t="shared" si="2"/>
        <v>1.9E-2</v>
      </c>
      <c r="G55" s="17">
        <f t="shared" si="3"/>
        <v>1.2E-2</v>
      </c>
      <c r="H55" s="16">
        <f t="shared" si="4"/>
        <v>1124.47</v>
      </c>
      <c r="I55" s="7">
        <f t="shared" si="5"/>
        <v>1125.8726091121739</v>
      </c>
      <c r="J55" s="15">
        <f t="shared" si="6"/>
        <v>4.2709760058555521E-2</v>
      </c>
    </row>
    <row r="56" spans="1:10">
      <c r="A56" s="24">
        <v>1175</v>
      </c>
      <c r="B56" s="32">
        <v>37500</v>
      </c>
      <c r="C56" s="23">
        <v>37520</v>
      </c>
      <c r="D56" s="22">
        <v>27.7</v>
      </c>
      <c r="E56" s="15">
        <v>0.42739700000000003</v>
      </c>
      <c r="F56" s="17">
        <f t="shared" si="2"/>
        <v>1.9E-2</v>
      </c>
      <c r="G56" s="17">
        <f t="shared" si="3"/>
        <v>1.2E-2</v>
      </c>
      <c r="H56" s="16">
        <f t="shared" si="4"/>
        <v>1124.47</v>
      </c>
      <c r="I56" s="9">
        <f t="shared" si="5"/>
        <v>1127.8392031747107</v>
      </c>
      <c r="J56" s="21">
        <f t="shared" si="6"/>
        <v>4.0964555058555209E-2</v>
      </c>
    </row>
    <row r="57" spans="1:10">
      <c r="A57" s="20">
        <v>1175</v>
      </c>
      <c r="B57" s="30">
        <v>37591</v>
      </c>
      <c r="C57" s="19">
        <v>37611</v>
      </c>
      <c r="D57" s="18">
        <v>42.5</v>
      </c>
      <c r="E57" s="15">
        <v>0.67671199999999998</v>
      </c>
      <c r="F57" s="17">
        <f t="shared" si="2"/>
        <v>1.9E-2</v>
      </c>
      <c r="G57" s="17">
        <f t="shared" si="3"/>
        <v>1.2E-2</v>
      </c>
      <c r="H57" s="16">
        <f t="shared" si="4"/>
        <v>1124.47</v>
      </c>
      <c r="I57" s="7">
        <f t="shared" si="5"/>
        <v>1129.8092323436485</v>
      </c>
      <c r="J57" s="15">
        <f t="shared" si="6"/>
        <v>3.9219350058555508E-2</v>
      </c>
    </row>
    <row r="58" spans="1:10">
      <c r="A58" s="24">
        <v>1175</v>
      </c>
      <c r="B58" s="32">
        <v>37681</v>
      </c>
      <c r="C58" s="23">
        <v>37702</v>
      </c>
      <c r="D58" s="22">
        <v>56.6</v>
      </c>
      <c r="E58" s="15">
        <v>0.92602700000000004</v>
      </c>
      <c r="F58" s="17">
        <f t="shared" si="2"/>
        <v>1.9E-2</v>
      </c>
      <c r="G58" s="17">
        <f t="shared" si="3"/>
        <v>1.2E-2</v>
      </c>
      <c r="H58" s="16">
        <f t="shared" si="4"/>
        <v>1124.47</v>
      </c>
      <c r="I58" s="9">
        <f t="shared" si="5"/>
        <v>1131.7827026191869</v>
      </c>
      <c r="J58" s="21">
        <f t="shared" si="6"/>
        <v>3.7474145058555529E-2</v>
      </c>
    </row>
    <row r="59" spans="1:10">
      <c r="A59" s="20">
        <v>1175</v>
      </c>
      <c r="B59" s="30">
        <v>37956</v>
      </c>
      <c r="C59" s="19">
        <v>37975</v>
      </c>
      <c r="D59" s="18">
        <v>99.8</v>
      </c>
      <c r="E59" s="15">
        <v>1.6739729999999999</v>
      </c>
      <c r="F59" s="17">
        <f t="shared" si="2"/>
        <v>1.9E-2</v>
      </c>
      <c r="G59" s="17">
        <f t="shared" si="3"/>
        <v>1.2E-2</v>
      </c>
      <c r="H59" s="16">
        <f t="shared" si="4"/>
        <v>1124.47</v>
      </c>
      <c r="I59" s="7">
        <f t="shared" si="5"/>
        <v>1137.7238282087853</v>
      </c>
      <c r="J59" s="15">
        <f t="shared" si="6"/>
        <v>3.2238523058555277E-2</v>
      </c>
    </row>
    <row r="60" spans="1:10">
      <c r="A60" s="24">
        <v>1200</v>
      </c>
      <c r="B60" s="32">
        <v>37500</v>
      </c>
      <c r="C60" s="23">
        <v>37520</v>
      </c>
      <c r="D60" s="22">
        <v>19.600000000000001</v>
      </c>
      <c r="E60" s="15">
        <v>0.42739700000000003</v>
      </c>
      <c r="F60" s="17">
        <f t="shared" si="2"/>
        <v>1.9E-2</v>
      </c>
      <c r="G60" s="17">
        <f t="shared" si="3"/>
        <v>1.2E-2</v>
      </c>
      <c r="H60" s="16">
        <f t="shared" si="4"/>
        <v>1124.47</v>
      </c>
      <c r="I60" s="9">
        <f t="shared" si="5"/>
        <v>1127.8392031747107</v>
      </c>
      <c r="J60" s="21">
        <f t="shared" si="6"/>
        <v>6.2017964256387552E-2</v>
      </c>
    </row>
    <row r="61" spans="1:10">
      <c r="A61" s="20">
        <v>1200</v>
      </c>
      <c r="B61" s="30">
        <v>37591</v>
      </c>
      <c r="C61" s="19">
        <v>37611</v>
      </c>
      <c r="D61" s="18">
        <v>33</v>
      </c>
      <c r="E61" s="15">
        <v>0.67671199999999998</v>
      </c>
      <c r="F61" s="17">
        <f t="shared" si="2"/>
        <v>1.9E-2</v>
      </c>
      <c r="G61" s="17">
        <f t="shared" si="3"/>
        <v>1.2E-2</v>
      </c>
      <c r="H61" s="16">
        <f t="shared" si="4"/>
        <v>1124.47</v>
      </c>
      <c r="I61" s="7">
        <f t="shared" si="5"/>
        <v>1129.8092323436485</v>
      </c>
      <c r="J61" s="15">
        <f t="shared" si="6"/>
        <v>6.0272759256387712E-2</v>
      </c>
    </row>
    <row r="62" spans="1:10">
      <c r="A62" s="24">
        <v>1200</v>
      </c>
      <c r="B62" s="32">
        <v>37681</v>
      </c>
      <c r="C62" s="23">
        <v>37702</v>
      </c>
      <c r="D62" s="22">
        <v>46.1</v>
      </c>
      <c r="E62" s="15">
        <v>0.92602700000000004</v>
      </c>
      <c r="F62" s="17">
        <f t="shared" si="2"/>
        <v>1.9E-2</v>
      </c>
      <c r="G62" s="17">
        <f t="shared" si="3"/>
        <v>1.2E-2</v>
      </c>
      <c r="H62" s="16">
        <f t="shared" si="4"/>
        <v>1124.47</v>
      </c>
      <c r="I62" s="9">
        <f t="shared" si="5"/>
        <v>1131.7827026191869</v>
      </c>
      <c r="J62" s="21">
        <f t="shared" si="6"/>
        <v>5.8527554256388011E-2</v>
      </c>
    </row>
    <row r="63" spans="1:10">
      <c r="A63" s="20">
        <v>1200</v>
      </c>
      <c r="B63" s="30">
        <v>37773</v>
      </c>
      <c r="C63" s="19">
        <v>37793</v>
      </c>
      <c r="D63" s="18">
        <v>60.9</v>
      </c>
      <c r="E63" s="15">
        <v>1.1753420000000001</v>
      </c>
      <c r="F63" s="17">
        <f t="shared" si="2"/>
        <v>1.9E-2</v>
      </c>
      <c r="G63" s="17">
        <f t="shared" si="3"/>
        <v>1.2E-2</v>
      </c>
      <c r="H63" s="16">
        <f t="shared" si="4"/>
        <v>1124.47</v>
      </c>
      <c r="I63" s="7">
        <f t="shared" si="5"/>
        <v>1133.7596200120063</v>
      </c>
      <c r="J63" s="15">
        <f t="shared" si="6"/>
        <v>5.6782349256387622E-2</v>
      </c>
    </row>
    <row r="64" spans="1:10">
      <c r="A64" s="24">
        <v>1225</v>
      </c>
      <c r="B64" s="32">
        <v>37500</v>
      </c>
      <c r="C64" s="23">
        <v>37520</v>
      </c>
      <c r="D64" s="22">
        <v>13.2</v>
      </c>
      <c r="E64" s="15">
        <v>0.42739700000000003</v>
      </c>
      <c r="F64" s="17">
        <f t="shared" si="2"/>
        <v>1.9E-2</v>
      </c>
      <c r="G64" s="17">
        <f t="shared" si="3"/>
        <v>1.2E-2</v>
      </c>
      <c r="H64" s="16">
        <f t="shared" si="4"/>
        <v>1124.47</v>
      </c>
      <c r="I64" s="9">
        <f t="shared" si="5"/>
        <v>1127.8392031747107</v>
      </c>
      <c r="J64" s="21">
        <f t="shared" si="6"/>
        <v>8.2637251459123234E-2</v>
      </c>
    </row>
    <row r="65" spans="1:10">
      <c r="A65" s="20">
        <v>1225</v>
      </c>
      <c r="B65" s="30">
        <v>37591</v>
      </c>
      <c r="C65" s="19">
        <v>37611</v>
      </c>
      <c r="D65" s="18">
        <v>24.9</v>
      </c>
      <c r="E65" s="15">
        <v>0.67671199999999998</v>
      </c>
      <c r="F65" s="17">
        <f t="shared" si="2"/>
        <v>1.9E-2</v>
      </c>
      <c r="G65" s="17">
        <f t="shared" si="3"/>
        <v>1.2E-2</v>
      </c>
      <c r="H65" s="16">
        <f t="shared" si="4"/>
        <v>1124.47</v>
      </c>
      <c r="I65" s="7">
        <f t="shared" si="5"/>
        <v>1129.8092323436485</v>
      </c>
      <c r="J65" s="15">
        <f t="shared" si="6"/>
        <v>8.0892046459123471E-2</v>
      </c>
    </row>
    <row r="66" spans="1:10">
      <c r="A66" s="24">
        <v>1225</v>
      </c>
      <c r="B66" s="32">
        <v>37681</v>
      </c>
      <c r="C66" s="23">
        <v>37702</v>
      </c>
      <c r="D66" s="22">
        <v>36.9</v>
      </c>
      <c r="E66" s="15">
        <v>0.92602700000000004</v>
      </c>
      <c r="F66" s="17">
        <f t="shared" si="2"/>
        <v>1.9E-2</v>
      </c>
      <c r="G66" s="17">
        <f t="shared" si="3"/>
        <v>1.2E-2</v>
      </c>
      <c r="H66" s="16">
        <f t="shared" si="4"/>
        <v>1124.47</v>
      </c>
      <c r="I66" s="9">
        <f t="shared" si="5"/>
        <v>1131.7827026191869</v>
      </c>
      <c r="J66" s="21">
        <f t="shared" si="6"/>
        <v>7.9146841459123624E-2</v>
      </c>
    </row>
    <row r="67" spans="1:10">
      <c r="A67" s="20">
        <v>1225</v>
      </c>
      <c r="B67" s="30">
        <v>37773</v>
      </c>
      <c r="C67" s="19">
        <v>37793</v>
      </c>
      <c r="D67" s="18">
        <v>49.8</v>
      </c>
      <c r="E67" s="15">
        <v>1.1753420000000001</v>
      </c>
      <c r="F67" s="17">
        <f t="shared" si="2"/>
        <v>1.9E-2</v>
      </c>
      <c r="G67" s="17">
        <f t="shared" si="3"/>
        <v>1.2E-2</v>
      </c>
      <c r="H67" s="16">
        <f t="shared" si="4"/>
        <v>1124.47</v>
      </c>
      <c r="I67" s="7">
        <f t="shared" si="5"/>
        <v>1133.7596200120063</v>
      </c>
      <c r="J67" s="15">
        <f t="shared" si="6"/>
        <v>7.7401636459123332E-2</v>
      </c>
    </row>
    <row r="68" spans="1:10">
      <c r="A68" s="24">
        <v>1250</v>
      </c>
      <c r="B68" s="32">
        <v>37591</v>
      </c>
      <c r="C68" s="23">
        <v>37611</v>
      </c>
      <c r="D68" s="22">
        <v>18.3</v>
      </c>
      <c r="E68" s="15">
        <v>0.67671199999999998</v>
      </c>
      <c r="F68" s="17">
        <f t="shared" si="2"/>
        <v>1.9E-2</v>
      </c>
      <c r="G68" s="17">
        <f t="shared" si="3"/>
        <v>1.2E-2</v>
      </c>
      <c r="H68" s="16">
        <f t="shared" si="4"/>
        <v>1124.47</v>
      </c>
      <c r="I68" s="9">
        <f t="shared" si="5"/>
        <v>1129.8092323436485</v>
      </c>
      <c r="J68" s="21">
        <f t="shared" si="6"/>
        <v>0.10109475377664298</v>
      </c>
    </row>
    <row r="69" spans="1:10">
      <c r="A69" s="20">
        <v>1250</v>
      </c>
      <c r="B69" s="30">
        <v>37681</v>
      </c>
      <c r="C69" s="19">
        <v>37702</v>
      </c>
      <c r="D69" s="18">
        <v>29.3</v>
      </c>
      <c r="E69" s="15">
        <v>0.92602700000000004</v>
      </c>
      <c r="F69" s="17">
        <f t="shared" si="2"/>
        <v>1.9E-2</v>
      </c>
      <c r="G69" s="17">
        <f t="shared" si="3"/>
        <v>1.2E-2</v>
      </c>
      <c r="H69" s="16">
        <f t="shared" si="4"/>
        <v>1124.47</v>
      </c>
      <c r="I69" s="7">
        <f t="shared" si="5"/>
        <v>1131.7827026191869</v>
      </c>
      <c r="J69" s="15">
        <f t="shared" si="6"/>
        <v>9.934954877664301E-2</v>
      </c>
    </row>
    <row r="70" spans="1:10">
      <c r="A70" s="24">
        <v>1250</v>
      </c>
      <c r="B70" s="32">
        <v>37773</v>
      </c>
      <c r="C70" s="23">
        <v>37793</v>
      </c>
      <c r="D70" s="22">
        <v>41.2</v>
      </c>
      <c r="E70" s="15">
        <v>1.1753420000000001</v>
      </c>
      <c r="F70" s="17">
        <f t="shared" si="2"/>
        <v>1.9E-2</v>
      </c>
      <c r="G70" s="17">
        <f t="shared" si="3"/>
        <v>1.2E-2</v>
      </c>
      <c r="H70" s="16">
        <f t="shared" si="4"/>
        <v>1124.47</v>
      </c>
      <c r="I70" s="9">
        <f t="shared" si="5"/>
        <v>1133.7596200120063</v>
      </c>
      <c r="J70" s="21">
        <f t="shared" si="6"/>
        <v>9.7604343776642802E-2</v>
      </c>
    </row>
    <row r="71" spans="1:10">
      <c r="A71" s="20">
        <v>1250</v>
      </c>
      <c r="B71" s="30">
        <v>37956</v>
      </c>
      <c r="C71" s="19">
        <v>37975</v>
      </c>
      <c r="D71" s="18">
        <v>66.900000000000006</v>
      </c>
      <c r="E71" s="15">
        <v>1.6739729999999999</v>
      </c>
      <c r="F71" s="17">
        <f t="shared" si="2"/>
        <v>1.9E-2</v>
      </c>
      <c r="G71" s="17">
        <f t="shared" si="3"/>
        <v>1.2E-2</v>
      </c>
      <c r="H71" s="16">
        <f t="shared" si="4"/>
        <v>1124.47</v>
      </c>
      <c r="I71" s="7">
        <f t="shared" si="5"/>
        <v>1137.7238282087853</v>
      </c>
      <c r="J71" s="15">
        <f t="shared" si="6"/>
        <v>9.4113926776642765E-2</v>
      </c>
    </row>
    <row r="72" spans="1:10">
      <c r="A72" s="24">
        <v>1275</v>
      </c>
      <c r="B72" s="32">
        <v>37591</v>
      </c>
      <c r="C72" s="23">
        <v>37611</v>
      </c>
      <c r="D72" s="22">
        <v>13.2</v>
      </c>
      <c r="E72" s="15">
        <v>0.67671199999999998</v>
      </c>
      <c r="F72" s="17">
        <f t="shared" si="2"/>
        <v>1.9E-2</v>
      </c>
      <c r="G72" s="17">
        <f t="shared" si="3"/>
        <v>1.2E-2</v>
      </c>
      <c r="H72" s="16">
        <f t="shared" si="4"/>
        <v>1124.47</v>
      </c>
      <c r="I72" s="9">
        <f t="shared" si="5"/>
        <v>1129.8092323436485</v>
      </c>
      <c r="J72" s="21">
        <f t="shared" si="6"/>
        <v>0.12089738107282257</v>
      </c>
    </row>
    <row r="73" spans="1:10">
      <c r="A73" s="20">
        <v>1275</v>
      </c>
      <c r="B73" s="30">
        <v>37681</v>
      </c>
      <c r="C73" s="19">
        <v>37702</v>
      </c>
      <c r="D73" s="18">
        <v>22.5</v>
      </c>
      <c r="E73" s="15">
        <v>0.92602700000000004</v>
      </c>
      <c r="F73" s="17">
        <f t="shared" si="2"/>
        <v>1.9E-2</v>
      </c>
      <c r="G73" s="17">
        <f t="shared" si="3"/>
        <v>1.2E-2</v>
      </c>
      <c r="H73" s="16">
        <f t="shared" si="4"/>
        <v>1124.47</v>
      </c>
      <c r="I73" s="7">
        <f t="shared" ref="I73:I83" si="7">H73*EXP((F73-G73)*E73)</f>
        <v>1131.7827026191869</v>
      </c>
      <c r="J73" s="15">
        <f t="shared" ref="J73:J83" si="8">LN(A73/I73)</f>
        <v>0.11915217607282286</v>
      </c>
    </row>
    <row r="74" spans="1:10">
      <c r="A74" s="24">
        <v>1300</v>
      </c>
      <c r="B74" s="32">
        <v>37681</v>
      </c>
      <c r="C74" s="23">
        <v>37702</v>
      </c>
      <c r="D74" s="22">
        <v>17.2</v>
      </c>
      <c r="E74" s="15">
        <v>0.92602700000000004</v>
      </c>
      <c r="F74" s="17">
        <f t="shared" ref="F74:F83" si="9">$B$4</f>
        <v>1.9E-2</v>
      </c>
      <c r="G74" s="17">
        <f t="shared" ref="G74:G83" si="10">$B$5</f>
        <v>1.2E-2</v>
      </c>
      <c r="H74" s="16">
        <f t="shared" ref="H74:H83" si="11">$B$3</f>
        <v>1124.47</v>
      </c>
      <c r="I74" s="9">
        <f t="shared" si="7"/>
        <v>1131.7827026191869</v>
      </c>
      <c r="J74" s="21">
        <f t="shared" si="8"/>
        <v>0.13857026192992436</v>
      </c>
    </row>
    <row r="75" spans="1:10">
      <c r="A75" s="20">
        <v>1300</v>
      </c>
      <c r="B75" s="30">
        <v>37773</v>
      </c>
      <c r="C75" s="19">
        <v>37793</v>
      </c>
      <c r="D75" s="18">
        <v>27.1</v>
      </c>
      <c r="E75" s="15">
        <v>1.1753420000000001</v>
      </c>
      <c r="F75" s="17">
        <f t="shared" si="9"/>
        <v>1.9E-2</v>
      </c>
      <c r="G75" s="17">
        <f t="shared" si="10"/>
        <v>1.2E-2</v>
      </c>
      <c r="H75" s="16">
        <f t="shared" si="11"/>
        <v>1124.47</v>
      </c>
      <c r="I75" s="7">
        <f t="shared" si="7"/>
        <v>1133.7596200120063</v>
      </c>
      <c r="J75" s="15">
        <f t="shared" si="8"/>
        <v>0.13682505692992417</v>
      </c>
    </row>
    <row r="76" spans="1:10">
      <c r="A76" s="24">
        <v>1300</v>
      </c>
      <c r="B76" s="32">
        <v>37956</v>
      </c>
      <c r="C76" s="23">
        <v>37975</v>
      </c>
      <c r="D76" s="22">
        <v>49.5</v>
      </c>
      <c r="E76" s="15">
        <v>1.6739729999999999</v>
      </c>
      <c r="F76" s="17">
        <f t="shared" si="9"/>
        <v>1.9E-2</v>
      </c>
      <c r="G76" s="17">
        <f t="shared" si="10"/>
        <v>1.2E-2</v>
      </c>
      <c r="H76" s="16">
        <f t="shared" si="11"/>
        <v>1124.47</v>
      </c>
      <c r="I76" s="9">
        <f t="shared" si="7"/>
        <v>1137.7238282087853</v>
      </c>
      <c r="J76" s="21">
        <f t="shared" si="8"/>
        <v>0.1333346399299242</v>
      </c>
    </row>
    <row r="77" spans="1:10">
      <c r="A77" s="20">
        <v>1325</v>
      </c>
      <c r="B77" s="30">
        <v>37681</v>
      </c>
      <c r="C77" s="19">
        <v>37702</v>
      </c>
      <c r="D77" s="18">
        <v>12.8</v>
      </c>
      <c r="E77" s="15">
        <v>0.92602700000000004</v>
      </c>
      <c r="F77" s="17">
        <f t="shared" si="9"/>
        <v>1.9E-2</v>
      </c>
      <c r="G77" s="17">
        <f t="shared" si="10"/>
        <v>1.2E-2</v>
      </c>
      <c r="H77" s="16">
        <f t="shared" si="11"/>
        <v>1124.47</v>
      </c>
      <c r="I77" s="7">
        <f t="shared" si="7"/>
        <v>1131.7827026191869</v>
      </c>
      <c r="J77" s="15">
        <f t="shared" si="8"/>
        <v>0.15761845690061879</v>
      </c>
    </row>
    <row r="78" spans="1:10">
      <c r="A78" s="24">
        <v>1350</v>
      </c>
      <c r="B78" s="32">
        <v>37773</v>
      </c>
      <c r="C78" s="23">
        <v>37793</v>
      </c>
      <c r="D78" s="22">
        <v>17.100000000000001</v>
      </c>
      <c r="E78" s="15">
        <v>1.1753420000000001</v>
      </c>
      <c r="F78" s="17">
        <f t="shared" si="9"/>
        <v>1.9E-2</v>
      </c>
      <c r="G78" s="17">
        <f t="shared" si="10"/>
        <v>1.2E-2</v>
      </c>
      <c r="H78" s="16">
        <f t="shared" si="11"/>
        <v>1124.47</v>
      </c>
      <c r="I78" s="9">
        <f t="shared" si="7"/>
        <v>1133.7596200120063</v>
      </c>
      <c r="J78" s="21">
        <f t="shared" si="8"/>
        <v>0.17456538491277104</v>
      </c>
    </row>
    <row r="79" spans="1:10">
      <c r="A79" s="20">
        <v>1350</v>
      </c>
      <c r="B79" s="30">
        <v>37956</v>
      </c>
      <c r="C79" s="19">
        <v>37975</v>
      </c>
      <c r="D79" s="18">
        <v>35.700000000000003</v>
      </c>
      <c r="E79" s="15">
        <v>1.6739729999999999</v>
      </c>
      <c r="F79" s="17">
        <f t="shared" si="9"/>
        <v>1.9E-2</v>
      </c>
      <c r="G79" s="17">
        <f t="shared" si="10"/>
        <v>1.2E-2</v>
      </c>
      <c r="H79" s="16">
        <f t="shared" si="11"/>
        <v>1124.47</v>
      </c>
      <c r="I79" s="7">
        <f t="shared" si="7"/>
        <v>1137.7238282087853</v>
      </c>
      <c r="J79" s="15">
        <f t="shared" si="8"/>
        <v>0.17107496791277119</v>
      </c>
    </row>
    <row r="80" spans="1:10">
      <c r="A80" s="24">
        <v>1400</v>
      </c>
      <c r="B80" s="32">
        <v>37773</v>
      </c>
      <c r="C80" s="23">
        <v>37793</v>
      </c>
      <c r="D80" s="22">
        <v>10.1</v>
      </c>
      <c r="E80" s="15">
        <v>1.1753420000000001</v>
      </c>
      <c r="F80" s="17">
        <f t="shared" si="9"/>
        <v>1.9E-2</v>
      </c>
      <c r="G80" s="17">
        <f t="shared" si="10"/>
        <v>1.2E-2</v>
      </c>
      <c r="H80" s="16">
        <f t="shared" si="11"/>
        <v>1124.47</v>
      </c>
      <c r="I80" s="9">
        <f t="shared" si="7"/>
        <v>1133.7596200120063</v>
      </c>
      <c r="J80" s="21">
        <f t="shared" si="8"/>
        <v>0.21093302908364595</v>
      </c>
    </row>
    <row r="81" spans="1:10">
      <c r="A81" s="20">
        <v>1400</v>
      </c>
      <c r="B81" s="30">
        <v>37956</v>
      </c>
      <c r="C81" s="19">
        <v>37975</v>
      </c>
      <c r="D81" s="18">
        <v>25.2</v>
      </c>
      <c r="E81" s="15">
        <v>1.6739729999999999</v>
      </c>
      <c r="F81" s="17">
        <f t="shared" si="9"/>
        <v>1.9E-2</v>
      </c>
      <c r="G81" s="17">
        <f t="shared" si="10"/>
        <v>1.2E-2</v>
      </c>
      <c r="H81" s="16">
        <f t="shared" si="11"/>
        <v>1124.47</v>
      </c>
      <c r="I81" s="7">
        <f t="shared" si="7"/>
        <v>1137.7238282087853</v>
      </c>
      <c r="J81" s="15">
        <f t="shared" si="8"/>
        <v>0.20744261208364598</v>
      </c>
    </row>
    <row r="82" spans="1:10">
      <c r="A82" s="24">
        <v>1450</v>
      </c>
      <c r="B82" s="32">
        <v>37956</v>
      </c>
      <c r="C82" s="23">
        <v>37975</v>
      </c>
      <c r="D82" s="22">
        <v>17</v>
      </c>
      <c r="E82" s="15">
        <v>1.6739729999999999</v>
      </c>
      <c r="F82" s="17">
        <f t="shared" si="9"/>
        <v>1.9E-2</v>
      </c>
      <c r="G82" s="17">
        <f t="shared" si="10"/>
        <v>1.2E-2</v>
      </c>
      <c r="H82" s="16">
        <f t="shared" si="11"/>
        <v>1124.47</v>
      </c>
      <c r="I82" s="9">
        <f t="shared" si="7"/>
        <v>1137.7238282087853</v>
      </c>
      <c r="J82" s="21">
        <f t="shared" si="8"/>
        <v>0.24253393189491604</v>
      </c>
    </row>
    <row r="83" spans="1:10">
      <c r="A83" s="20">
        <v>1500</v>
      </c>
      <c r="B83" s="30">
        <v>37956</v>
      </c>
      <c r="C83" s="19">
        <v>37975</v>
      </c>
      <c r="D83" s="18">
        <v>12.2</v>
      </c>
      <c r="E83" s="15">
        <v>1.6739729999999999</v>
      </c>
      <c r="F83" s="17">
        <f t="shared" si="9"/>
        <v>1.9E-2</v>
      </c>
      <c r="G83" s="17">
        <f t="shared" si="10"/>
        <v>1.2E-2</v>
      </c>
      <c r="H83" s="16">
        <f t="shared" si="11"/>
        <v>1124.47</v>
      </c>
      <c r="I83" s="7">
        <f t="shared" si="7"/>
        <v>1137.7238282087853</v>
      </c>
      <c r="J83" s="15">
        <f t="shared" si="8"/>
        <v>0.2764354835705975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BBG</vt:lpstr>
      <vt:lpstr>Values</vt:lpstr>
      <vt:lpstr>Schoutens Table</vt:lpstr>
      <vt:lpstr>Schoutens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Jones</dc:creator>
  <cp:lastModifiedBy>Michael Jones</cp:lastModifiedBy>
  <dcterms:created xsi:type="dcterms:W3CDTF">2026-07-09T12:31:08Z</dcterms:created>
  <dcterms:modified xsi:type="dcterms:W3CDTF">2026-07-24T10:15:06Z</dcterms:modified>
</cp:coreProperties>
</file>